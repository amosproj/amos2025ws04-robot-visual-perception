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Chart" sheetId="11" r:id="rId13"/>
    <sheet state="visible" name="Final Project Release plan" sheetId="12" r:id="rId14"/>
    <sheet state="visible" name="Final Project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definedName name="Average">'Velocity Tracking'!$B$17</definedName>
  </definedNames>
  <calcPr/>
</workbook>
</file>

<file path=xl/sharedStrings.xml><?xml version="1.0" encoding="utf-8"?>
<sst xmlns="http://schemas.openxmlformats.org/spreadsheetml/2006/main" count="563" uniqueCount="389">
  <si>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</si>
  <si>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</si>
  <si>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</si>
  <si>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</si>
  <si>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</si>
  <si>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</si>
  <si>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</si>
  <si>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</si>
  <si>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</si>
  <si>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</si>
  <si>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</si>
  <si>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</si>
  <si>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</si>
  <si>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</si>
  <si>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</si>
  <si>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</si>
  <si>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</si>
  <si>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</si>
  <si>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</si>
  <si>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</si>
  <si>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</si>
  <si>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</si>
  <si>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</si>
  <si>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</si>
  <si>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</si>
  <si>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</si>
  <si>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</si>
  <si>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</si>
  <si>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</si>
  <si>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</si>
  <si>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</si>
  <si>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</si>
  <si>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</si>
  <si>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</si>
  <si>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</si>
  <si>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</si>
  <si>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</si>
  <si>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</si>
  <si>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</si>
  <si>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</si>
  <si>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</si>
  <si>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</si>
  <si>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</si>
  <si>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</si>
  <si>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</si>
  <si>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</si>
  <si>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</si>
  <si>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</si>
  <si>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</si>
  <si>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</si>
  <si>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</si>
  <si>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</si>
  <si>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</si>
  <si>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</si>
  <si>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</si>
  <si>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</si>
  <si>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</si>
  <si>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</si>
  <si>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</si>
  <si>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</si>
  <si>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</si>
  <si>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</si>
  <si>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</si>
  <si>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</si>
  <si>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</si>
  <si>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</si>
  <si>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</si>
  <si>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</si>
  <si>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</si>
  <si>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</si>
  <si>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</si>
  <si>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</si>
  <si>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</si>
  <si>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</si>
  <si>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</si>
  <si>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</si>
  <si>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</si>
  <si>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</si>
  <si>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</si>
  <si>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</si>
  <si>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</si>
  <si>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</si>
  <si>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</si>
  <si>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</si>
  <si>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</si>
  <si>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</si>
  <si>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</si>
  <si>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</si>
  <si>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</si>
  <si>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</si>
  <si>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</si>
  <si>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</si>
  <si>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</si>
  <si>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</si>
  <si>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</si>
  <si>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</si>
  <si>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</si>
  <si>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</si>
  <si>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</si>
  <si>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</si>
  <si>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</si>
  <si>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</si>
  <si>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</si>
  <si>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</si>
  <si>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</si>
  <si>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</si>
  <si>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</si>
  <si>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</si>
  <si>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</si>
  <si>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</si>
  <si>
    <t>Term</t>
  </si>
  <si>
    <t>Definition</t>
  </si>
  <si>
    <t>ONNX</t>
  </si>
  <si>
    <t>Open Neural Network Exchange (A runtime to run machine learning models on a variety of hardware)</t>
  </si>
  <si>
    <t>Monocular Depth Estimation</t>
  </si>
  <si>
    <t>Estimating the Depth in a Scene with only one eye (or camera in our case)</t>
  </si>
  <si>
    <t>YOLO</t>
  </si>
  <si>
    <t>You Only Look Once, family of state of the art object detection models (and more)</t>
  </si>
  <si>
    <t>MiDaS</t>
  </si>
  <si>
    <t>A ML model for Monocular Depth Estimation</t>
  </si>
  <si>
    <t>ML</t>
  </si>
  <si>
    <t>Machine Learning</t>
  </si>
  <si>
    <t>ORT</t>
  </si>
  <si>
    <t>ONNX Runtime</t>
  </si>
  <si>
    <t>CUDA</t>
  </si>
  <si>
    <t>NVIDIA GPU runtime for machine learning and more</t>
  </si>
  <si>
    <t>ROCm</t>
  </si>
  <si>
    <t>AMD GPU runtime for machine learning and more</t>
  </si>
  <si>
    <t>IoU</t>
  </si>
  <si>
    <t>Intersection over Union</t>
  </si>
  <si>
    <t>NMS</t>
  </si>
  <si>
    <t>Non Maximum Suppression</t>
  </si>
  <si>
    <t>FPS</t>
  </si>
  <si>
    <t>Frames per Second</t>
  </si>
  <si>
    <t>COCO</t>
  </si>
  <si>
    <t>Common Objects in Context, a commonly used dataset for training and testing Object detection models</t>
  </si>
  <si>
    <t>WebRTC</t>
  </si>
  <si>
    <t>Web Real-Time Communication, video streaming between the different services</t>
  </si>
  <si>
    <t>SBOM</t>
  </si>
  <si>
    <t>Software Bill of Materials</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</si>
  <si>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</si>
  <si>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</si>
  <si>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</si>
  <si>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</si>
  <si>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</si>
  <si>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</si>
  <si>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</si>
  <si>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Refine component parts</t>
  </si>
  <si>
    <t>Improve Extensibility and Documentation</t>
  </si>
  <si>
    <t>Refining the overall look and feel</t>
  </si>
  <si>
    <t>Project integration with real SFU</t>
  </si>
  <si>
    <t>Technical Improvements and Experiments</t>
  </si>
  <si>
    <t>Refactoring and Testing</t>
  </si>
  <si>
    <t>Refining the Frontend</t>
  </si>
  <si>
    <t>Performance Improvements</t>
  </si>
  <si>
    <t>Finalizing the Documentation and Preparing for Demo Day</t>
  </si>
  <si>
    <t>Reflecting on the Project</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</si>
  <si>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</si>
  <si>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</si>
  <si>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</si>
  <si>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</si>
  <si>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</si>
  <si>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</si>
  <si>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</si>
  <si>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</si>
  <si>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</si>
  <si>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</si>
  <si>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</si>
  <si>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</si>
  <si>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</si>
  <si>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</si>
  <si>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</si>
  <si>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Setup Architecture</t>
  </si>
  <si>
    <t>Serve Webcam as WebRTC stream</t>
  </si>
  <si>
    <t>Setup Initial CI Pipeline</t>
  </si>
  <si>
    <t>Discuss Team Distribution Preferences</t>
  </si>
  <si>
    <t>Keep BOM up to date</t>
  </si>
  <si>
    <t>Setup REUSE licensing</t>
  </si>
  <si>
    <t>Update Architecture document</t>
  </si>
  <si>
    <t>Create Object Detection Example</t>
  </si>
  <si>
    <t>Prepare Build Process Review</t>
  </si>
  <si>
    <t>Prepare Depth Estimation</t>
  </si>
  <si>
    <t>Research Object and Depth Estimation</t>
  </si>
  <si>
    <t>Metadata Transport</t>
  </si>
  <si>
    <t>Split Backend Responsibilities</t>
  </si>
  <si>
    <t>Improve Code Quality</t>
  </si>
  <si>
    <t>Remove Redundant Calculations</t>
  </si>
  <si>
    <t>Utilize Library for detecting Object dimensions</t>
  </si>
  <si>
    <t>Create a React Video Component</t>
  </si>
  <si>
    <t>Investigate and Fix startup TIme</t>
  </si>
  <si>
    <t>Fix Windows Development setup</t>
  </si>
  <si>
    <t>Create a React Video Overlay</t>
  </si>
  <si>
    <t>Build Process Video</t>
  </si>
  <si>
    <t>Update Container Images</t>
  </si>
  <si>
    <t>Initialize Build/Deployment Documentation</t>
  </si>
  <si>
    <t>Initialize Technical Documentation</t>
  </si>
  <si>
    <t>Initialize User Facing Documentation</t>
  </si>
  <si>
    <t>Setup and Test analyzing with Cuda and Rocm</t>
  </si>
  <si>
    <t>Properly use CSS</t>
  </si>
  <si>
    <t>Reduce Initial Connection Time</t>
  </si>
  <si>
    <t>Automate SBOM Generation</t>
  </si>
  <si>
    <t>Setup Docker Compose</t>
  </si>
  <si>
    <t>Separate Model Downloading from Running</t>
  </si>
  <si>
    <t>Extensible Object Analysis</t>
  </si>
  <si>
    <t>Send Object Location (x, y, z) relative to Camera</t>
  </si>
  <si>
    <t>Move to pyproject.toml</t>
  </si>
  <si>
    <t>Reduce Container Size</t>
  </si>
  <si>
    <t>React Metadata Widget</t>
  </si>
  <si>
    <t>Reduce Inference Time</t>
  </si>
  <si>
    <t>Transported Metadata Usage</t>
  </si>
  <si>
    <t>Ability to Hide Overlay</t>
  </si>
  <si>
    <t>Debounce Detections in Metadata Widget</t>
  </si>
  <si>
    <t>Add Support for Yolo11</t>
  </si>
  <si>
    <t>Create Make Targets for ONNX Export</t>
  </si>
  <si>
    <t>Run MiDaS via ONNX</t>
  </si>
  <si>
    <t>Overlay Flickering When Zoomed-in / -out</t>
  </si>
  <si>
    <t>Clearing Overlay Unreliable</t>
  </si>
  <si>
    <t>Overlay Drawn Out-of-bounds</t>
  </si>
  <si>
    <t>Disconnecting Unreliable</t>
  </si>
  <si>
    <t>Document Analyzer API Endpoints</t>
  </si>
  <si>
    <t>Create Object Filter</t>
  </si>
  <si>
    <t>Smoother Overlays</t>
  </si>
  <si>
    <t>Add Support for Depth Anything V2</t>
  </si>
  <si>
    <t>Standalone Model Downloading</t>
  </si>
  <si>
    <t>Run on real Hardware</t>
  </si>
  <si>
    <t>Video Stream from File</t>
  </si>
  <si>
    <t>Backend Logging</t>
  </si>
  <si>
    <t>Frontend Logging</t>
  </si>
  <si>
    <t>Low Confidence Filter</t>
  </si>
  <si>
    <t>Prometheus for Backend</t>
  </si>
  <si>
    <t>Keep Metadata In Sync</t>
  </si>
  <si>
    <t>Calibration Guide</t>
  </si>
  <si>
    <t>Add Detection Threshold</t>
  </si>
  <si>
    <t>Evalutate Apple Depth Pro</t>
  </si>
  <si>
    <t>Label Mapping in Backend</t>
  </si>
  <si>
    <t>Support multiple languages</t>
  </si>
  <si>
    <t>Dark Light mode</t>
  </si>
  <si>
    <t>Improve depth estimation</t>
  </si>
  <si>
    <t>UI Improvements</t>
  </si>
  <si>
    <t>Refactor &amp; Test: Object Tracking</t>
  </si>
  <si>
    <t>Refactor &amp; Test: Drawing Logic of frontend</t>
  </si>
  <si>
    <t>Refactor &amp; Test: Math functions</t>
  </si>
  <si>
    <t>Add Ion-Sfu Support</t>
  </si>
  <si>
    <t>Overlay Frame Smoothing</t>
  </si>
  <si>
    <t>Restore Firefox support</t>
  </si>
  <si>
    <t>Minor UI improvements</t>
  </si>
  <si>
    <t>Top Down Radar View</t>
  </si>
  <si>
    <t>Video Router &amp; Dispatching Service</t>
  </si>
  <si>
    <t>Centralized Configuration</t>
  </si>
  <si>
    <t>Model quntization FP16 / INT8</t>
  </si>
  <si>
    <t>Tensor IO Binding</t>
  </si>
  <si>
    <t>Optimize Preprocessing</t>
  </si>
  <si>
    <t>Optimize Postprocessing</t>
  </si>
  <si>
    <t>Align Model Inputs</t>
  </si>
  <si>
    <t>Finalize User Facing Documentation</t>
  </si>
  <si>
    <t>Finalize Design Documentation</t>
  </si>
  <si>
    <t>Finalize Build Documentation</t>
  </si>
  <si>
    <t>Update Architecture Diagrams</t>
  </si>
  <si>
    <t>Create Demo Day Slide</t>
  </si>
  <si>
    <t>Create Demo Day Video</t>
  </si>
  <si>
    <t>Create Project Report</t>
  </si>
  <si>
    <t>Feature Definition of Done</t>
  </si>
  <si>
    <t>Sprint Release Definition of Done</t>
  </si>
  <si>
    <t>Project Release Definition of Done</t>
  </si>
  <si>
    <t>Code has been reviewed by at least one SD</t>
  </si>
  <si>
    <t>All Software Components are functioning</t>
  </si>
  <si>
    <t>Architecture documentation has been updated</t>
  </si>
  <si>
    <t>Feature has been reviewed by at least one PO</t>
  </si>
  <si>
    <t>Sprint release notes have been generated from all merge-requests since the last release</t>
  </si>
  <si>
    <t>Tests exist for all mayor features</t>
  </si>
  <si>
    <t>Build scripts have been adapted if necessary</t>
  </si>
  <si>
    <t>All container communication is working</t>
  </si>
  <si>
    <t>All tests are passing</t>
  </si>
  <si>
    <t>CI Pipeline Passes</t>
  </si>
  <si>
    <t>Code has been merged to main</t>
  </si>
  <si>
    <t>BOM has been updated if necessary</t>
  </si>
  <si>
    <t>Type</t>
  </si>
  <si>
    <t>Link / reference</t>
  </si>
  <si>
    <t>Context</t>
  </si>
  <si>
    <t>Name</t>
  </si>
  <si>
    <t>Version</t>
  </si>
  <si>
    <t>License</t>
  </si>
  <si>
    <t>Frontend (React UI)</t>
  </si>
  <si>
    <t>npm:react</t>
  </si>
  <si>
    <t>18.3.1</t>
  </si>
  <si>
    <t>MIT</t>
  </si>
  <si>
    <t>npm:react-dom</t>
  </si>
  <si>
    <t>Backend (FastAPI API)</t>
  </si>
  <si>
    <t>pypi:aioice</t>
  </si>
  <si>
    <t>0.10.1</t>
  </si>
  <si>
    <t>BSD-3-Clause</t>
  </si>
  <si>
    <t>pypi:aiortc</t>
  </si>
  <si>
    <t>1.14.0</t>
  </si>
  <si>
    <t>pypi:av</t>
  </si>
  <si>
    <t>16.0.1</t>
  </si>
  <si>
    <t>pypi:fastapi</t>
  </si>
  <si>
    <t>0.115.10</t>
  </si>
  <si>
    <t>pypi:httpx</t>
  </si>
  <si>
    <t>0.27.2</t>
  </si>
  <si>
    <t>BSD License</t>
  </si>
  <si>
    <t>pypi:numpy</t>
  </si>
  <si>
    <t>1.26.4</t>
  </si>
  <si>
    <t>pypi:onnxruntime</t>
  </si>
  <si>
    <t>1.20.1</t>
  </si>
  <si>
    <t>MIT License</t>
  </si>
  <si>
    <t>pypi:onnxruntime-gpu</t>
  </si>
  <si>
    <t>1.23.2</t>
  </si>
  <si>
    <t>pypi:opencv-python</t>
  </si>
  <si>
    <t>4.9.0.80</t>
  </si>
  <si>
    <t>Apache 2.0</t>
  </si>
  <si>
    <t>pypi:opentelemetry-exporter-otlp</t>
  </si>
  <si>
    <t>1.27.0</t>
  </si>
  <si>
    <t>Apache-2.0</t>
  </si>
  <si>
    <t>pypi:opentelemetry-sdk</t>
  </si>
  <si>
    <t>pypi:opentelemetry-semantic-conventions</t>
  </si>
  <si>
    <t>pypi:prometheus-client</t>
  </si>
  <si>
    <t>0.21.0</t>
  </si>
  <si>
    <t>Apache Software License 2.0</t>
  </si>
  <si>
    <t>pypi:pydantic</t>
  </si>
  <si>
    <t>2.12.3</t>
  </si>
  <si>
    <t>pypi:timm</t>
  </si>
  <si>
    <t>1.0.22</t>
  </si>
  <si>
    <t>pypi:transformers</t>
  </si>
  <si>
    <t>4.49.0</t>
  </si>
  <si>
    <t>Apache 2.0 License</t>
  </si>
  <si>
    <t>pypi:ultralytics</t>
  </si>
  <si>
    <t>8.3.58</t>
  </si>
  <si>
    <t>AGPL-3.0</t>
  </si>
  <si>
    <t>pypi:uvicorn</t>
  </si>
  <si>
    <t>0.38.0</t>
  </si>
  <si>
    <t>pypi:websockets</t>
  </si>
  <si>
    <t>15.0.1</t>
  </si>
  <si>
    <t>npm:@types/react</t>
  </si>
  <si>
    <t>18.3.12</t>
  </si>
  <si>
    <t>npm:@types/react-dom</t>
  </si>
  <si>
    <t>npm:@typescript-eslint/eslint-plugin</t>
  </si>
  <si>
    <t>8.16.0</t>
  </si>
  <si>
    <t>npm:@typescript-eslint/parser</t>
  </si>
  <si>
    <t>BSD-2-Clause</t>
  </si>
  <si>
    <t>npm:@vitejs/plugin-react</t>
  </si>
  <si>
    <t>4.3.4</t>
  </si>
  <si>
    <t>npm:autoprefixer</t>
  </si>
  <si>
    <t>10.4.22</t>
  </si>
  <si>
    <t>npm:eslint</t>
  </si>
  <si>
    <t>9.17.0</t>
  </si>
  <si>
    <t>Backend Dev Dependencies</t>
  </si>
  <si>
    <t>pypi:mypy</t>
  </si>
  <si>
    <t>1.13.0</t>
  </si>
  <si>
    <t>pypi:onnx</t>
  </si>
  <si>
    <t>1.19.1</t>
  </si>
  <si>
    <t>Apache License v2.0</t>
  </si>
  <si>
    <t>pypi:onnxscript</t>
  </si>
  <si>
    <t>0.5.6</t>
  </si>
  <si>
    <t>pypi:onnxslim</t>
  </si>
  <si>
    <t>0.1.75</t>
  </si>
  <si>
    <t>npm:postcss</t>
  </si>
  <si>
    <t>8.5.6</t>
  </si>
  <si>
    <t>npm:prettier</t>
  </si>
  <si>
    <t>3.4.2</t>
  </si>
  <si>
    <t>pypi:pytest</t>
  </si>
  <si>
    <t>8.3.3</t>
  </si>
  <si>
    <t>pypi:pytest-asyncio</t>
  </si>
  <si>
    <t>1.2.0</t>
  </si>
  <si>
    <t>pypi:reuse</t>
  </si>
  <si>
    <t>4.0.3</t>
  </si>
  <si>
    <t>Apache-2.0 AND CC0-1.0 AND CC-BY-SA-4.0 AND GPL-3.0-or-later</t>
  </si>
  <si>
    <t>pypi:ruff</t>
  </si>
  <si>
    <t>0.7.0</t>
  </si>
  <si>
    <t>npm:tailwindcss</t>
  </si>
  <si>
    <t>3.4.16</t>
  </si>
  <si>
    <t>npm:typescript</t>
  </si>
  <si>
    <t>5.6.3</t>
  </si>
  <si>
    <t>npm:vite</t>
  </si>
  <si>
    <t>6.0.3</t>
  </si>
  <si>
    <t>npm:vitest</t>
  </si>
  <si>
    <t>2.1.5</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</si>
  <si>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</si>
  <si>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</si>
  <si>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</si>
  <si>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</si>
  <si>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</si>
  <si>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</si>
  <si>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</si>
  <si>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</si>
  <si>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</si>
  <si>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</si>
  <si>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</si>
  <si>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</si>
  <si>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no cap yet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</si>
</sst>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1" numFmtId="0" xfId="0" applyAlignment="1" applyFont="1">
      <alignment readingOrder="0"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0" fontId="7" numFmtId="0" xfId="0" applyAlignment="1" applyFont="1">
      <alignment horizontal="left" shrinkToFit="0" vertical="bottom" wrapText="1"/>
    </xf>
    <xf borderId="0" fillId="0" fontId="7" numFmtId="0" xfId="0" applyAlignment="1" applyFont="1">
      <alignment shrinkToFit="0" vertical="bottom" wrapText="0"/>
    </xf>
    <xf borderId="0" fillId="0" fontId="7" numFmtId="0" xfId="0" applyAlignment="1" applyFont="1">
      <alignment shrinkToFit="0" vertical="bottom" wrapText="1"/>
    </xf>
    <xf borderId="0" fillId="0" fontId="6" numFmtId="0" xfId="0" applyAlignment="1" applyFont="1">
      <alignment shrinkToFit="0" vertical="bottom" wrapText="0"/>
    </xf>
    <xf borderId="0" fillId="0" fontId="2" numFmtId="0" xfId="0" applyAlignment="1" applyFont="1">
      <alignment shrinkToFit="0" wrapText="0"/>
    </xf>
    <xf borderId="0" fillId="0"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0" fontId="8" numFmtId="0" xfId="0" applyAlignment="1" applyFont="1">
      <alignment horizontal="center" shrinkToFit="0" vertical="bottom" wrapText="0"/>
    </xf>
    <xf borderId="0" fillId="0" fontId="7" numFmtId="0" xfId="0" applyAlignment="1" applyFont="1">
      <alignment horizontal="left" shrinkToFit="0" vertical="bottom" wrapText="1"/>
    </xf>
    <xf borderId="0" fillId="0" fontId="6" numFmtId="0" xfId="0" applyAlignment="1" applyFont="1">
      <alignment readingOrder="0"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0" fontId="6"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2" numFmtId="0" xfId="0" applyAlignment="1" applyFont="1">
      <alignment readingOrder="0" shrinkToFit="0" wrapText="0"/>
    </xf>
    <xf borderId="0" fillId="0" fontId="7" numFmtId="0" xfId="0" applyAlignment="1" applyFont="1">
      <alignment horizontal="left" readingOrder="0" shrinkToFit="0" vertical="bottom" wrapText="1"/>
    </xf>
    <xf borderId="0" fillId="3" fontId="7" numFmtId="0" xfId="0" applyAlignment="1" applyFont="1">
      <alignment horizontal="left" shrinkToFit="0" vertical="bottom" wrapText="1"/>
    </xf>
    <xf borderId="0" fillId="0" fontId="6" numFmtId="0" xfId="0" applyAlignment="1" applyFont="1">
      <alignment horizontal="left" shrinkToFit="0" vertical="bottom" wrapText="1"/>
    </xf>
    <xf borderId="0" fillId="0" fontId="1" numFmtId="0" xfId="0" applyAlignment="1" applyFont="1">
      <alignment horizontal="left" shrinkToFit="0" wrapText="1"/>
    </xf>
    <xf borderId="0" fillId="0" fontId="1" numFmtId="0" xfId="0" applyAlignment="1" applyFont="1">
      <alignment shrinkToFit="0"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5" fontId="7" numFmtId="0" xfId="0" applyAlignment="1" applyFont="1">
      <alignment horizontal="center" readingOrder="0" shrinkToFit="0" vertical="center" wrapText="1"/>
    </xf>
    <xf borderId="0" fillId="4" fontId="7" numFmtId="4" xfId="0" applyAlignment="1" applyFont="1" applyNumberFormat="1">
      <alignment readingOrder="0" shrinkToFit="0" vertical="center" wrapText="1"/>
    </xf>
    <xf borderId="0" fillId="4" fontId="2" numFmtId="0" xfId="0" applyAlignment="1" applyFont="1">
      <alignment shrinkToFit="0" vertical="center" wrapText="1"/>
    </xf>
    <xf borderId="0" fillId="3" fontId="6" numFmtId="0" xfId="0" applyAlignment="1" applyFont="1">
      <alignment shrinkToFit="0" vertical="center" wrapText="1"/>
    </xf>
    <xf borderId="0" fillId="5" fontId="2" numFmtId="0" xfId="0" applyAlignment="1" applyFont="1">
      <alignment horizontal="center" readingOrder="0" shrinkToFit="0"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3" fontId="6" numFmtId="0" xfId="0" applyAlignment="1" applyFont="1">
      <alignment readingOrder="0" shrinkToFit="0" vertical="center" wrapText="1"/>
    </xf>
    <xf borderId="0" fillId="4" fontId="7" numFmtId="0" xfId="0" applyAlignment="1" applyFont="1">
      <alignment horizontal="center" readingOrder="0" shrinkToFit="0" vertical="center" wrapText="1"/>
    </xf>
    <xf borderId="0" fillId="3"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Mid-Project Burndown Chart-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1216191252"/>
        <c:axId val="1180620423"/>
      </c:barChart>
      <c:lineChart>
        <c:varyColors val="0"/>
        <c:ser>
          <c:idx val="1"/>
          <c:order val="1"/>
          <c:tx>
            <c:strRef>
              <c:f>'Velocity Chart'!$A$1</c:f>
            </c:strRef>
          </c:tx>
          <c:spPr>
            <a:ln cmpd="sng">
              <a:solidFill>
                <a:srgbClr val="DB4437"/>
              </a:solidFill>
            </a:ln>
          </c:spPr>
          <c:marker>
            <c:symbol val="none"/>
          </c:marker>
          <c:dPt>
            <c:idx val="14"/>
            <c:marker>
              <c:symbol val="none"/>
            </c:marker>
          </c:dPt>
          <c:cat>
            <c:strRef>
              <c:f>'Velocity Tracking'!$A$2:$A$16</c:f>
            </c:strRef>
          </c:cat>
          <c:val>
            <c:numRef>
              <c:f>'Velocity Chart'!$A$2:$A$16</c:f>
              <c:numCache/>
            </c:numRef>
          </c:val>
          <c:smooth val="0"/>
        </c:ser>
        <c:axId val="1216191252"/>
        <c:axId val="1180620423"/>
      </c:lineChart>
      <c:catAx>
        <c:axId val="121619125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180620423"/>
      </c:catAx>
      <c:valAx>
        <c:axId val="1180620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1619125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plan'!$A$9:$A$14</c:f>
            </c:strRef>
          </c:cat>
          <c:val>
            <c:numRef>
              <c:f>'Mid-Project Release plan'!$E$9:$E$14</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'Mid-Project Release plan'!$A$9:$A$14</c:f>
            </c:strRef>
          </c:cat>
          <c:val>
            <c:numRef>
              <c:f>'Mid-Project Release plan'!$E$9:$E$14</c:f>
              <c:numCache/>
            </c:numRef>
          </c:val>
        </c:ser>
        <c:axId val="2050796431"/>
        <c:axId val="1315114988"/>
      </c:barChart>
      <c:catAx>
        <c:axId val="205079643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315114988"/>
      </c:catAx>
      <c:valAx>
        <c:axId val="13151149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50796431"/>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plan'!$A$9:$A$17</c:f>
            </c:strRef>
          </c:cat>
          <c:val>
            <c:numRef>
              <c:f>'Final Project Release plan'!$E$9:$E$17</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'Final Project Release plan'!$A$9:$A$17</c:f>
            </c:strRef>
          </c:cat>
          <c:val>
            <c:numRef>
              <c:f>'Final Project Release plan'!$E$9:$E$17</c:f>
              <c:numCache/>
            </c:numRef>
          </c:val>
        </c:ser>
        <c:axId val="786331724"/>
        <c:axId val="1027075941"/>
      </c:barChart>
      <c:catAx>
        <c:axId val="78633172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027075941"/>
      </c:catAx>
      <c:valAx>
        <c:axId val="10270759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86331724"/>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620375" cy="6248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5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headerRowCount="0" ref="A1:A36" displayName="Table_9" name="Table_9" id="9">
  <tableColumns count="1">
    <tableColumn name="Column1" id="1"/>
  </tableColumns>
  <tableStyleInfo name="Mid-Project Burndown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97"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headerRowCount="0" ref="A1:A36" displayName="Table_11" name="Table_11" id="11">
  <tableColumns count="1">
    <tableColumn name="Column1" id="1"/>
  </tableColumns>
  <tableStyleInfo name="Final Project Burndown Chart-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D20" displayName="Table_12" name="Table_12" id="12">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3.xml><?xml version="1.0" encoding="utf-8"?>
<table xmlns="http://schemas.openxmlformats.org/spreadsheetml/2006/main" ref="A1:B20" displayName="Table_13" name="Table_13" id="13">
  <tableColumns count="2">
    <tableColumn name="Type" id="1"/>
    <tableColumn name="Link / reference" id="2"/>
  </tableColumns>
  <tableStyleInfo name="Documentation-style" showColumnStripes="0" showFirstColumn="1" showLastColumn="1" showRowStripes="1"/>
</table>
</file>

<file path=xl/tables/table14.xml><?xml version="1.0" encoding="utf-8"?>
<table xmlns="http://schemas.openxmlformats.org/spreadsheetml/2006/main" ref="A1:E4" displayName="Table_14" name="Table_14" id="14">
  <tableColumns count="5">
    <tableColumn name="#" id="1"/>
    <tableColumn name="Context" id="2"/>
    <tableColumn name="Name" id="3"/>
    <tableColumn name="Version" id="4"/>
    <tableColumn name="License" id="5"/>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5" t="s">
        <v>11</v>
      </c>
    </row>
    <row r="10">
      <c r="A10" s="4" t="s">
        <v>12</v>
      </c>
      <c r="B10" s="5" t="s">
        <v>13</v>
      </c>
    </row>
    <row r="11">
      <c r="A11" s="1"/>
      <c r="B11" s="3"/>
    </row>
    <row r="12">
      <c r="A12" s="4" t="s">
        <v>14</v>
      </c>
      <c r="B12" s="5" t="s">
        <v>15</v>
      </c>
    </row>
    <row r="13">
      <c r="A13" s="4" t="s">
        <v>16</v>
      </c>
      <c r="B13" s="5" t="s">
        <v>17</v>
      </c>
    </row>
    <row r="14">
      <c r="A14" s="1"/>
      <c r="B14" s="3"/>
    </row>
    <row r="15">
      <c r="A15" s="1" t="s">
        <v>18</v>
      </c>
      <c r="B15" s="5" t="s">
        <v>19</v>
      </c>
    </row>
    <row r="16">
      <c r="A16" s="1"/>
      <c r="B16" s="3"/>
    </row>
    <row r="17">
      <c r="A17" s="4" t="s">
        <v>20</v>
      </c>
      <c r="B17" s="2" t="s">
        <v>21</v>
      </c>
    </row>
    <row r="18">
      <c r="A18" s="1"/>
      <c r="B18" s="3"/>
    </row>
    <row r="19">
      <c r="A19" s="1"/>
      <c r="B19" s="6"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24</v>
      </c>
      <c r="B1" s="7" t="s">
        <v>25</v>
      </c>
      <c r="C1" s="7" t="s">
        <v>26</v>
      </c>
      <c r="D1" s="7" t="s">
        <v>27</v>
      </c>
    </row>
    <row r="2">
      <c r="A2" s="8" t="s">
        <v>28</v>
      </c>
      <c r="B2" s="8" t="s">
        <v>29</v>
      </c>
      <c r="C2" s="8" t="s">
        <v>30</v>
      </c>
      <c r="D2" s="8" t="s">
        <v>31</v>
      </c>
    </row>
    <row r="3">
      <c r="A3" s="8" t="s">
        <v>32</v>
      </c>
      <c r="B3" s="8" t="s">
        <v>33</v>
      </c>
      <c r="C3" s="8" t="s">
        <v>34</v>
      </c>
      <c r="D3" s="8" t="s">
        <v>35</v>
      </c>
    </row>
    <row r="4">
      <c r="A4" s="8" t="s">
        <v>36</v>
      </c>
      <c r="B4" s="8" t="s">
        <v>37</v>
      </c>
      <c r="C4" s="8" t="s">
        <v>38</v>
      </c>
      <c r="D4" s="9" t="s">
        <v>39</v>
      </c>
    </row>
    <row r="5">
      <c r="A5" s="8" t="s">
        <v>40</v>
      </c>
      <c r="B5" s="8" t="s">
        <v>41</v>
      </c>
      <c r="C5" s="8" t="s">
        <v>42</v>
      </c>
      <c r="D5" s="8" t="s">
        <v>43</v>
      </c>
    </row>
    <row r="6">
      <c r="A6" s="8" t="s">
        <v>44</v>
      </c>
      <c r="B6" s="8" t="s">
        <v>45</v>
      </c>
      <c r="C6" s="8" t="s">
        <v>46</v>
      </c>
      <c r="D6" s="8" t="s">
        <v>47</v>
      </c>
    </row>
    <row r="7">
      <c r="A7" s="8" t="s">
        <v>48</v>
      </c>
      <c r="B7" s="8" t="s">
        <v>49</v>
      </c>
      <c r="C7" s="8" t="s">
        <v>50</v>
      </c>
      <c r="D7" s="8" t="s">
        <v>51</v>
      </c>
    </row>
    <row r="8">
      <c r="A8" s="8" t="s">
        <v>52</v>
      </c>
      <c r="B8" s="8" t="s">
        <v>53</v>
      </c>
      <c r="C8" s="8" t="s">
        <v>54</v>
      </c>
      <c r="D8" s="8" t="s">
        <v>55</v>
      </c>
    </row>
    <row r="9">
      <c r="A9" s="8" t="s">
        <v>56</v>
      </c>
      <c r="B9" s="8" t="s">
        <v>57</v>
      </c>
      <c r="C9" s="8" t="s">
        <v>58</v>
      </c>
      <c r="D9" s="10" t="s">
        <v>59</v>
      </c>
    </row>
    <row r="10">
      <c r="A10" s="8" t="s">
        <v>60</v>
      </c>
      <c r="B10" s="8" t="s">
        <v>61</v>
      </c>
      <c r="C10" s="8" t="s">
        <v>62</v>
      </c>
      <c r="D10" s="8" t="s">
        <v>63</v>
      </c>
    </row>
    <row r="11">
      <c r="A11" s="11"/>
      <c r="B11" s="11"/>
      <c r="C11" s="11"/>
      <c r="D11" s="11"/>
    </row>
    <row r="12">
      <c r="A12" s="7"/>
      <c r="B12" s="12"/>
      <c r="C12" s="12"/>
      <c r="D12" s="12"/>
    </row>
    <row r="13">
      <c r="A13" s="11"/>
      <c r="B13" s="8"/>
      <c r="C13" s="11"/>
      <c r="D13" s="11"/>
    </row>
    <row r="14">
      <c r="A14" s="11"/>
      <c r="B14" s="8"/>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3"/>
      <c r="B1" s="13"/>
      <c r="C1" s="13" t="s">
        <v>64</v>
      </c>
      <c r="E1" s="13"/>
      <c r="F1" s="14"/>
      <c r="G1" s="14"/>
      <c r="H1" s="13"/>
    </row>
    <row r="2">
      <c r="A2" s="15" t="s">
        <v>65</v>
      </c>
      <c r="B2" s="15" t="s">
        <v>66</v>
      </c>
      <c r="C2" s="15" t="s">
        <v>67</v>
      </c>
      <c r="D2" s="15" t="s">
        <v>68</v>
      </c>
      <c r="E2" s="15" t="s">
        <v>69</v>
      </c>
      <c r="F2" s="16" t="s">
        <v>70</v>
      </c>
      <c r="G2" s="16" t="s">
        <v>71</v>
      </c>
      <c r="H2" s="15" t="s">
        <v>72</v>
      </c>
    </row>
    <row r="3">
      <c r="A3" s="17">
        <v>1.0</v>
      </c>
      <c r="B3" s="18">
        <v>45952.0</v>
      </c>
      <c r="C3" s="8" t="s">
        <v>73</v>
      </c>
      <c r="D3" s="8" t="s">
        <v>74</v>
      </c>
      <c r="E3" s="8" t="s">
        <v>75</v>
      </c>
      <c r="F3" s="8" t="s">
        <v>76</v>
      </c>
      <c r="G3" s="8" t="s">
        <v>77</v>
      </c>
      <c r="H3" s="19" t="s">
        <v>78</v>
      </c>
    </row>
    <row r="4">
      <c r="A4" s="17">
        <v>2.0</v>
      </c>
      <c r="B4" s="20">
        <f t="shared" ref="B4:B11" si="1">B3+7</f>
        <v>45959</v>
      </c>
      <c r="C4" s="8" t="s">
        <v>74</v>
      </c>
      <c r="D4" s="8" t="s">
        <v>73</v>
      </c>
      <c r="E4" s="8" t="s">
        <v>75</v>
      </c>
      <c r="F4" s="8" t="s">
        <v>79</v>
      </c>
      <c r="G4" s="8" t="s">
        <v>77</v>
      </c>
      <c r="H4" s="21"/>
    </row>
    <row r="5">
      <c r="A5" s="17">
        <v>3.0</v>
      </c>
      <c r="B5" s="20">
        <f t="shared" si="1"/>
        <v>45966</v>
      </c>
      <c r="C5" s="8" t="s">
        <v>74</v>
      </c>
      <c r="D5" s="8" t="s">
        <v>73</v>
      </c>
      <c r="E5" s="8" t="s">
        <v>75</v>
      </c>
      <c r="F5" s="8" t="s">
        <v>80</v>
      </c>
      <c r="G5" s="8" t="s">
        <v>77</v>
      </c>
      <c r="H5" s="21"/>
    </row>
    <row r="6">
      <c r="A6" s="17">
        <v>4.0</v>
      </c>
      <c r="B6" s="20">
        <f t="shared" si="1"/>
        <v>45973</v>
      </c>
      <c r="C6" s="8" t="s">
        <v>73</v>
      </c>
      <c r="D6" s="8" t="s">
        <v>74</v>
      </c>
      <c r="E6" s="8" t="s">
        <v>75</v>
      </c>
      <c r="F6" s="8" t="s">
        <v>80</v>
      </c>
      <c r="G6" s="8" t="s">
        <v>77</v>
      </c>
      <c r="H6" s="21"/>
    </row>
    <row r="7">
      <c r="A7" s="17">
        <v>5.0</v>
      </c>
      <c r="B7" s="20">
        <f t="shared" si="1"/>
        <v>45980</v>
      </c>
      <c r="C7" s="8" t="s">
        <v>73</v>
      </c>
      <c r="D7" s="8" t="s">
        <v>74</v>
      </c>
      <c r="E7" s="8" t="s">
        <v>75</v>
      </c>
      <c r="F7" s="8" t="s">
        <v>79</v>
      </c>
      <c r="G7" s="8" t="s">
        <v>77</v>
      </c>
      <c r="H7" s="21"/>
    </row>
    <row r="8">
      <c r="A8" s="17">
        <v>6.0</v>
      </c>
      <c r="B8" s="20">
        <f t="shared" si="1"/>
        <v>45987</v>
      </c>
      <c r="C8" s="8" t="s">
        <v>74</v>
      </c>
      <c r="D8" s="8" t="s">
        <v>73</v>
      </c>
      <c r="E8" s="8" t="s">
        <v>75</v>
      </c>
      <c r="F8" s="8" t="s">
        <v>81</v>
      </c>
      <c r="G8" s="8" t="s">
        <v>77</v>
      </c>
      <c r="H8" s="21"/>
    </row>
    <row r="9">
      <c r="A9" s="17">
        <v>7.0</v>
      </c>
      <c r="B9" s="20">
        <f t="shared" si="1"/>
        <v>45994</v>
      </c>
      <c r="C9" s="8" t="s">
        <v>73</v>
      </c>
      <c r="D9" s="8" t="s">
        <v>74</v>
      </c>
      <c r="E9" s="8" t="s">
        <v>75</v>
      </c>
      <c r="F9" s="8" t="s">
        <v>81</v>
      </c>
      <c r="G9" s="8" t="s">
        <v>77</v>
      </c>
      <c r="H9" s="19"/>
    </row>
    <row r="10">
      <c r="A10" s="17">
        <v>8.0</v>
      </c>
      <c r="B10" s="20">
        <f t="shared" si="1"/>
        <v>46001</v>
      </c>
      <c r="C10" s="8" t="s">
        <v>74</v>
      </c>
      <c r="D10" s="8" t="s">
        <v>73</v>
      </c>
      <c r="E10" s="8" t="s">
        <v>75</v>
      </c>
      <c r="F10" s="8" t="s">
        <v>76</v>
      </c>
      <c r="G10" s="8" t="s">
        <v>77</v>
      </c>
      <c r="H10" s="21"/>
    </row>
    <row r="11">
      <c r="A11" s="17">
        <v>9.0</v>
      </c>
      <c r="B11" s="20">
        <f t="shared" si="1"/>
        <v>46008</v>
      </c>
      <c r="C11" s="8" t="s">
        <v>73</v>
      </c>
      <c r="D11" s="8" t="s">
        <v>74</v>
      </c>
      <c r="E11" s="8" t="s">
        <v>75</v>
      </c>
      <c r="F11" s="8" t="s">
        <v>82</v>
      </c>
      <c r="G11" s="8" t="s">
        <v>77</v>
      </c>
      <c r="H11" s="21"/>
    </row>
    <row r="12">
      <c r="A12" s="17">
        <v>10.0</v>
      </c>
      <c r="B12" s="18">
        <v>46029.0</v>
      </c>
      <c r="C12" s="8" t="s">
        <v>74</v>
      </c>
      <c r="D12" s="8" t="s">
        <v>73</v>
      </c>
      <c r="E12" s="8" t="s">
        <v>75</v>
      </c>
      <c r="F12" s="8" t="s">
        <v>82</v>
      </c>
      <c r="G12" s="8" t="s">
        <v>77</v>
      </c>
      <c r="H12" s="21"/>
    </row>
    <row r="13">
      <c r="A13" s="17">
        <v>11.0</v>
      </c>
      <c r="B13" s="20">
        <f t="shared" ref="B13:B17" si="2">B12+7</f>
        <v>46036</v>
      </c>
      <c r="C13" s="8" t="s">
        <v>73</v>
      </c>
      <c r="D13" s="8" t="s">
        <v>74</v>
      </c>
      <c r="E13" s="8" t="s">
        <v>75</v>
      </c>
      <c r="F13" s="8" t="s">
        <v>83</v>
      </c>
      <c r="G13" s="8" t="s">
        <v>77</v>
      </c>
      <c r="H13" s="21"/>
    </row>
    <row r="14">
      <c r="A14" s="17">
        <v>12.0</v>
      </c>
      <c r="B14" s="20">
        <f t="shared" si="2"/>
        <v>46043</v>
      </c>
      <c r="C14" s="8" t="s">
        <v>74</v>
      </c>
      <c r="D14" s="8" t="s">
        <v>73</v>
      </c>
      <c r="E14" s="8" t="s">
        <v>75</v>
      </c>
      <c r="F14" s="8" t="s">
        <v>83</v>
      </c>
      <c r="G14" s="8" t="s">
        <v>77</v>
      </c>
      <c r="H14" s="21"/>
    </row>
    <row r="15">
      <c r="A15" s="17">
        <v>13.0</v>
      </c>
      <c r="B15" s="20">
        <f t="shared" si="2"/>
        <v>46050</v>
      </c>
      <c r="C15" s="8" t="s">
        <v>73</v>
      </c>
      <c r="D15" s="8" t="s">
        <v>74</v>
      </c>
      <c r="E15" s="8" t="s">
        <v>75</v>
      </c>
      <c r="F15" s="11"/>
      <c r="G15" s="8" t="s">
        <v>77</v>
      </c>
      <c r="H15" s="21"/>
    </row>
    <row r="16">
      <c r="A16" s="17">
        <v>14.0</v>
      </c>
      <c r="B16" s="20">
        <f t="shared" si="2"/>
        <v>46057</v>
      </c>
      <c r="C16" s="8" t="s">
        <v>74</v>
      </c>
      <c r="D16" s="8" t="s">
        <v>73</v>
      </c>
      <c r="E16" s="8" t="s">
        <v>75</v>
      </c>
      <c r="F16" s="11"/>
      <c r="G16" s="8" t="s">
        <v>77</v>
      </c>
      <c r="H16" s="19" t="s">
        <v>84</v>
      </c>
    </row>
    <row r="17">
      <c r="A17" s="17">
        <v>15.0</v>
      </c>
      <c r="B17" s="20">
        <f t="shared" si="2"/>
        <v>46064</v>
      </c>
      <c r="C17" s="8" t="s">
        <v>73</v>
      </c>
      <c r="D17" s="8" t="s">
        <v>74</v>
      </c>
      <c r="E17" s="8" t="s">
        <v>75</v>
      </c>
      <c r="F17" s="11"/>
      <c r="G17" s="8" t="s">
        <v>77</v>
      </c>
      <c r="H17" s="19" t="s">
        <v>85</v>
      </c>
    </row>
    <row r="18">
      <c r="A18" s="17"/>
      <c r="B18" s="22"/>
      <c r="C18" s="11"/>
      <c r="D18" s="11"/>
      <c r="E18" s="11"/>
      <c r="F18" s="11"/>
      <c r="G18" s="11"/>
      <c r="H18" s="23"/>
    </row>
    <row r="19">
      <c r="A19" s="19" t="s">
        <v>86</v>
      </c>
      <c r="B19" s="24"/>
      <c r="C19" s="25"/>
      <c r="D19" s="25"/>
      <c r="E19" s="25"/>
      <c r="F19" s="25"/>
      <c r="G19" s="25"/>
      <c r="H19" s="23"/>
    </row>
    <row r="20">
      <c r="A20" s="25"/>
      <c r="B20" s="22"/>
      <c r="C20" s="11"/>
      <c r="D20" s="11"/>
      <c r="E20" s="11"/>
      <c r="F20" s="11"/>
      <c r="G20" s="11"/>
      <c r="H20" s="23"/>
    </row>
    <row r="21">
      <c r="A21" s="17"/>
      <c r="B21" s="22"/>
      <c r="C21" s="11"/>
      <c r="D21" s="11"/>
      <c r="E21" s="11"/>
      <c r="F21" s="11"/>
      <c r="G21" s="11"/>
      <c r="H21" s="23"/>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6" t="s">
        <v>87</v>
      </c>
      <c r="B1" s="27" t="s">
        <v>88</v>
      </c>
    </row>
    <row r="2">
      <c r="A2" s="28"/>
      <c r="B2" s="29"/>
    </row>
    <row r="3">
      <c r="A3" s="30" t="s">
        <v>89</v>
      </c>
      <c r="B3" s="27" t="s">
        <v>90</v>
      </c>
    </row>
    <row r="4">
      <c r="A4" s="28"/>
      <c r="B4" s="29"/>
    </row>
    <row r="5">
      <c r="A5" s="30" t="s">
        <v>91</v>
      </c>
      <c r="B5" s="27" t="s">
        <v>92</v>
      </c>
    </row>
    <row r="6">
      <c r="A6" s="28"/>
      <c r="B6" s="29"/>
    </row>
    <row r="7">
      <c r="A7" s="30" t="s">
        <v>93</v>
      </c>
      <c r="B7" s="27" t="s">
        <v>94</v>
      </c>
    </row>
    <row r="8">
      <c r="A8" s="28"/>
      <c r="B8" s="29"/>
    </row>
    <row r="9">
      <c r="A9" s="30" t="s">
        <v>95</v>
      </c>
      <c r="B9" s="27" t="s">
        <v>96</v>
      </c>
    </row>
    <row r="10">
      <c r="A10" s="28"/>
      <c r="B10" s="29"/>
    </row>
    <row r="11">
      <c r="A11" s="30" t="s">
        <v>97</v>
      </c>
      <c r="B11" s="31"/>
    </row>
    <row r="12">
      <c r="A12" s="29"/>
      <c r="B12" s="29"/>
    </row>
    <row r="13">
      <c r="A13" s="30" t="s">
        <v>98</v>
      </c>
      <c r="B13" s="31"/>
    </row>
    <row r="14">
      <c r="A14" s="29"/>
      <c r="B14" s="29"/>
    </row>
    <row r="15">
      <c r="A15" s="32" t="s">
        <v>99</v>
      </c>
      <c r="B15" s="27" t="s">
        <v>100</v>
      </c>
    </row>
    <row r="16">
      <c r="A16" s="29"/>
      <c r="B16" s="29"/>
    </row>
    <row r="17">
      <c r="A17" s="32" t="s">
        <v>101</v>
      </c>
      <c r="B17" s="27" t="s">
        <v>102</v>
      </c>
    </row>
    <row r="18">
      <c r="A18" s="29"/>
      <c r="B18" s="29"/>
    </row>
    <row r="19">
      <c r="A19" s="30" t="s">
        <v>103</v>
      </c>
      <c r="B19" s="32"/>
    </row>
    <row r="21">
      <c r="A21" s="33" t="s">
        <v>71</v>
      </c>
      <c r="B21" s="34" t="s">
        <v>77</v>
      </c>
    </row>
    <row r="22">
      <c r="A22" s="33" t="s">
        <v>104</v>
      </c>
      <c r="B22" s="34" t="s">
        <v>73</v>
      </c>
    </row>
    <row r="23">
      <c r="A23" s="33" t="s">
        <v>104</v>
      </c>
      <c r="B23" s="34" t="s">
        <v>74</v>
      </c>
    </row>
    <row r="24">
      <c r="A24" s="33" t="s">
        <v>105</v>
      </c>
      <c r="B24" s="34" t="s">
        <v>80</v>
      </c>
    </row>
    <row r="25">
      <c r="A25" s="33" t="s">
        <v>105</v>
      </c>
      <c r="B25" s="34" t="s">
        <v>81</v>
      </c>
    </row>
    <row r="26">
      <c r="A26" s="33" t="s">
        <v>105</v>
      </c>
      <c r="B26" s="34" t="s">
        <v>79</v>
      </c>
    </row>
    <row r="27">
      <c r="A27" s="33" t="s">
        <v>105</v>
      </c>
      <c r="B27" s="34" t="s">
        <v>76</v>
      </c>
    </row>
    <row r="28">
      <c r="A28" s="33" t="s">
        <v>105</v>
      </c>
      <c r="B28" s="34" t="s">
        <v>82</v>
      </c>
    </row>
    <row r="29">
      <c r="A29" s="33" t="s">
        <v>105</v>
      </c>
      <c r="B29" s="34" t="s">
        <v>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106</v>
      </c>
      <c r="B1" s="35" t="s">
        <v>107</v>
      </c>
    </row>
    <row r="2">
      <c r="A2" s="36"/>
      <c r="B2" s="37"/>
    </row>
    <row r="3">
      <c r="A3" s="38" t="s">
        <v>108</v>
      </c>
      <c r="B3" s="38" t="s">
        <v>109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110</v>
      </c>
      <c r="B1" s="39" t="s">
        <v>111</v>
      </c>
    </row>
    <row r="2">
      <c r="A2" s="2" t="s">
        <v>112</v>
      </c>
      <c r="B2" s="2" t="s">
        <v>113</v>
      </c>
    </row>
    <row r="3">
      <c r="A3" s="2" t="s">
        <v>114</v>
      </c>
      <c r="B3" s="2" t="s">
        <v>115</v>
      </c>
    </row>
    <row r="4">
      <c r="A4" s="2" t="s">
        <v>116</v>
      </c>
      <c r="B4" s="2" t="s">
        <v>117</v>
      </c>
    </row>
    <row r="5">
      <c r="A5" s="2" t="s">
        <v>118</v>
      </c>
      <c r="B5" s="2" t="s">
        <v>119</v>
      </c>
    </row>
    <row r="6">
      <c r="A6" s="2" t="s">
        <v>120</v>
      </c>
      <c r="B6" s="2" t="s">
        <v>121</v>
      </c>
    </row>
    <row r="7">
      <c r="A7" s="2" t="s">
        <v>122</v>
      </c>
      <c r="B7" s="2" t="s">
        <v>123</v>
      </c>
    </row>
    <row r="8">
      <c r="A8" s="2" t="s">
        <v>124</v>
      </c>
      <c r="B8" s="2" t="s">
        <v>125</v>
      </c>
    </row>
    <row r="9">
      <c r="A9" s="2" t="s">
        <v>126</v>
      </c>
      <c r="B9" s="2" t="s">
        <v>127</v>
      </c>
    </row>
    <row r="10">
      <c r="A10" s="2" t="s">
        <v>128</v>
      </c>
      <c r="B10" s="2" t="s">
        <v>129</v>
      </c>
    </row>
    <row r="11">
      <c r="A11" s="2" t="s">
        <v>130</v>
      </c>
      <c r="B11" s="2" t="s">
        <v>131</v>
      </c>
    </row>
    <row r="12">
      <c r="A12" s="2" t="s">
        <v>132</v>
      </c>
      <c r="B12" s="2" t="s">
        <v>133</v>
      </c>
    </row>
    <row r="13">
      <c r="A13" s="2" t="s">
        <v>134</v>
      </c>
      <c r="B13" s="2" t="s">
        <v>135</v>
      </c>
    </row>
    <row r="14">
      <c r="A14" s="2" t="s">
        <v>136</v>
      </c>
      <c r="B14" s="2" t="s">
        <v>137</v>
      </c>
    </row>
    <row r="15">
      <c r="A15" s="2" t="s">
        <v>138</v>
      </c>
      <c r="B15" s="2" t="s">
        <v>139</v>
      </c>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141</v>
      </c>
    </row>
    <row r="2">
      <c r="A2" s="41">
        <v>1.0</v>
      </c>
      <c r="B2" s="2" t="s">
        <v>142</v>
      </c>
    </row>
    <row r="3">
      <c r="A3" s="41">
        <f t="shared" ref="A3:A16" si="1">A2+1</f>
        <v>2</v>
      </c>
      <c r="B3" s="2" t="s">
        <v>143</v>
      </c>
    </row>
    <row r="4">
      <c r="A4" s="41">
        <f t="shared" si="1"/>
        <v>3</v>
      </c>
      <c r="B4" s="2" t="s">
        <v>144</v>
      </c>
    </row>
    <row r="5">
      <c r="A5" s="41">
        <f t="shared" si="1"/>
        <v>4</v>
      </c>
      <c r="B5" s="34" t="s">
        <v>145</v>
      </c>
    </row>
    <row r="6">
      <c r="A6" s="41">
        <f t="shared" si="1"/>
        <v>5</v>
      </c>
      <c r="B6" s="2" t="s">
        <v>146</v>
      </c>
    </row>
    <row r="7">
      <c r="A7" s="41">
        <f t="shared" si="1"/>
        <v>6</v>
      </c>
      <c r="B7" s="2" t="s">
        <v>147</v>
      </c>
    </row>
    <row r="8">
      <c r="A8" s="41">
        <f t="shared" si="1"/>
        <v>7</v>
      </c>
      <c r="B8" s="2" t="s">
        <v>148</v>
      </c>
    </row>
    <row r="9">
      <c r="A9" s="41">
        <f t="shared" si="1"/>
        <v>8</v>
      </c>
      <c r="B9" s="2" t="s">
        <v>149</v>
      </c>
    </row>
    <row r="10">
      <c r="A10" s="41">
        <f t="shared" si="1"/>
        <v>9</v>
      </c>
      <c r="B10" s="2" t="s">
        <v>150</v>
      </c>
    </row>
    <row r="11">
      <c r="A11" s="41">
        <f t="shared" si="1"/>
        <v>10</v>
      </c>
      <c r="B11" s="2" t="s">
        <v>151</v>
      </c>
    </row>
    <row r="12">
      <c r="A12" s="41">
        <f t="shared" si="1"/>
        <v>11</v>
      </c>
      <c r="B12" s="2" t="s">
        <v>152</v>
      </c>
    </row>
    <row r="13">
      <c r="A13" s="41">
        <f t="shared" si="1"/>
        <v>12</v>
      </c>
      <c r="B13" s="2" t="s">
        <v>153</v>
      </c>
    </row>
    <row r="14">
      <c r="A14" s="41">
        <f t="shared" si="1"/>
        <v>13</v>
      </c>
      <c r="B14" s="2" t="s">
        <v>154</v>
      </c>
    </row>
    <row r="15">
      <c r="A15" s="41">
        <f t="shared" si="1"/>
        <v>14</v>
      </c>
      <c r="B15" s="2" t="s">
        <v>155</v>
      </c>
    </row>
    <row r="16">
      <c r="A16" s="41">
        <f t="shared" si="1"/>
        <v>15</v>
      </c>
      <c r="B16" s="2" t="s">
        <v>156</v>
      </c>
    </row>
    <row r="17">
      <c r="A17" s="41"/>
      <c r="B17" s="3"/>
    </row>
    <row r="18">
      <c r="A18" s="41"/>
      <c r="B18" s="3"/>
    </row>
    <row r="19">
      <c r="A19" s="42"/>
      <c r="B19" s="3"/>
    </row>
    <row r="20">
      <c r="A20" s="42"/>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157</v>
      </c>
    </row>
    <row r="2">
      <c r="A2" s="41">
        <v>1.0</v>
      </c>
      <c r="B2" s="2">
        <v>0.0</v>
      </c>
    </row>
    <row r="3">
      <c r="A3" s="41">
        <f t="shared" ref="A3:A16" si="1">A2+1</f>
        <v>2</v>
      </c>
      <c r="B3" s="2">
        <f>SUM('Mid-Project Release plan'!B21:F24)</f>
        <v>14</v>
      </c>
    </row>
    <row r="4">
      <c r="A4" s="41">
        <f t="shared" si="1"/>
        <v>3</v>
      </c>
      <c r="B4" s="2">
        <f>SUM('Mid-Project Release plan'!B26:F32)</f>
        <v>22</v>
      </c>
    </row>
    <row r="5">
      <c r="A5" s="41">
        <f t="shared" si="1"/>
        <v>4</v>
      </c>
      <c r="B5" s="34">
        <f>SUM('Mid-Project Release plan'!B34:F36)</f>
        <v>11</v>
      </c>
    </row>
    <row r="6">
      <c r="A6" s="41">
        <f t="shared" si="1"/>
        <v>5</v>
      </c>
      <c r="B6" s="2">
        <f>SUM('Mid-Project Release plan'!B38:F45)</f>
        <v>21</v>
      </c>
    </row>
    <row r="7">
      <c r="A7" s="41">
        <f t="shared" si="1"/>
        <v>6</v>
      </c>
      <c r="B7" s="2">
        <f>SUM('Mid-Project Release plan'!B48:F56)</f>
        <v>26</v>
      </c>
    </row>
    <row r="8">
      <c r="A8" s="41">
        <f t="shared" si="1"/>
        <v>7</v>
      </c>
      <c r="B8" s="3">
        <f>'Final Project Release plan'!F9</f>
        <v>24</v>
      </c>
    </row>
    <row r="9">
      <c r="A9" s="41">
        <f t="shared" si="1"/>
        <v>8</v>
      </c>
      <c r="B9" s="3">
        <f>'Final Project Release plan'!F10</f>
        <v>19</v>
      </c>
    </row>
    <row r="10">
      <c r="A10" s="41">
        <f t="shared" si="1"/>
        <v>9</v>
      </c>
      <c r="B10" s="3">
        <f>'Final Project Release plan'!F11</f>
        <v>19</v>
      </c>
    </row>
    <row r="11">
      <c r="A11" s="41">
        <f t="shared" si="1"/>
        <v>10</v>
      </c>
      <c r="B11" s="3">
        <f>'Final Project Release plan'!F12</f>
        <v>23</v>
      </c>
    </row>
    <row r="12">
      <c r="A12" s="41">
        <f t="shared" si="1"/>
        <v>11</v>
      </c>
      <c r="B12" s="3">
        <f>'Final Project Release plan'!F13</f>
        <v>0</v>
      </c>
    </row>
    <row r="13">
      <c r="A13" s="41">
        <f t="shared" si="1"/>
        <v>12</v>
      </c>
      <c r="B13" s="3">
        <f>'Final Project Release plan'!F14</f>
        <v>0</v>
      </c>
    </row>
    <row r="14">
      <c r="A14" s="41">
        <f t="shared" si="1"/>
        <v>13</v>
      </c>
      <c r="B14" s="3">
        <f>'Final Project Release plan'!F15</f>
        <v>0</v>
      </c>
    </row>
    <row r="15">
      <c r="A15" s="41">
        <f t="shared" si="1"/>
        <v>14</v>
      </c>
      <c r="B15" s="3">
        <f>'Final Project Release plan'!F16</f>
        <v>0</v>
      </c>
    </row>
    <row r="16">
      <c r="A16" s="41">
        <f t="shared" si="1"/>
        <v>15</v>
      </c>
      <c r="B16" s="3">
        <f>'Final Project Release plan'!F17</f>
        <v>0</v>
      </c>
    </row>
    <row r="17">
      <c r="A17" s="41"/>
      <c r="B17" s="3"/>
    </row>
    <row r="18">
      <c r="A18" s="41"/>
      <c r="B18" s="43"/>
    </row>
    <row r="19">
      <c r="A19" s="42"/>
      <c r="B19" s="3"/>
    </row>
    <row r="20">
      <c r="A20" s="42"/>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36.38"/>
  </cols>
  <sheetData>
    <row r="1">
      <c r="A1" s="4" t="s">
        <v>158</v>
      </c>
    </row>
    <row r="2">
      <c r="A2" s="2">
        <f>AVERAGEIF('Velocity Tracking'!B$2:B$16, "&lt;&gt;0")
</f>
        <v>19.88888889</v>
      </c>
    </row>
    <row r="3">
      <c r="A3" s="2">
        <f>AVERAGEIF('Velocity Tracking'!B$2:B$16, "&lt;&gt;0")
</f>
        <v>19.88888889</v>
      </c>
    </row>
    <row r="4">
      <c r="A4" s="2">
        <f>AVERAGEIF('Velocity Tracking'!B$2:B$16, "&lt;&gt;0")
</f>
        <v>19.88888889</v>
      </c>
    </row>
    <row r="5">
      <c r="A5" s="2">
        <f>AVERAGEIF('Velocity Tracking'!B$2:B$16, "&lt;&gt;0")
</f>
        <v>19.88888889</v>
      </c>
    </row>
    <row r="6">
      <c r="A6" s="2">
        <f>AVERAGEIF('Velocity Tracking'!B$2:B$16, "&lt;&gt;0")
</f>
        <v>19.88888889</v>
      </c>
    </row>
    <row r="7">
      <c r="A7" s="2">
        <f>AVERAGEIF('Velocity Tracking'!B$2:B$16, "&lt;&gt;0")
</f>
        <v>19.88888889</v>
      </c>
    </row>
    <row r="8">
      <c r="A8" s="2">
        <f>AVERAGEIF('Velocity Tracking'!B$2:B$16, "&lt;&gt;0")
</f>
        <v>19.88888889</v>
      </c>
    </row>
    <row r="9">
      <c r="A9" s="2">
        <f>AVERAGEIF('Velocity Tracking'!B$2:B$16, "&lt;&gt;0")
</f>
        <v>19.88888889</v>
      </c>
    </row>
    <row r="10">
      <c r="A10" s="2">
        <f>AVERAGEIF('Velocity Tracking'!B$2:B$16, "&lt;&gt;0")
</f>
        <v>19.88888889</v>
      </c>
    </row>
    <row r="11">
      <c r="A11" s="2">
        <f>AVERAGEIF('Velocity Tracking'!B$2:B$16, "&lt;&gt;0")
</f>
        <v>19.88888889</v>
      </c>
    </row>
    <row r="12">
      <c r="A12" s="2">
        <f>AVERAGEIF('Velocity Tracking'!B$2:B$16, "&lt;&gt;0")
</f>
        <v>19.88888889</v>
      </c>
    </row>
    <row r="13">
      <c r="A13" s="2">
        <f>AVERAGEIF('Velocity Tracking'!B$2:B$16, "&lt;&gt;0")
</f>
        <v>19.88888889</v>
      </c>
    </row>
    <row r="14">
      <c r="A14" s="2">
        <f>AVERAGEIF('Velocity Tracking'!B$2:B$16, "&lt;&gt;0")
</f>
        <v>19.88888889</v>
      </c>
    </row>
    <row r="15">
      <c r="A15" s="2">
        <f>AVERAGEIF('Velocity Tracking'!B$2:B$16, "&lt;&gt;0")
</f>
        <v>19.88888889</v>
      </c>
    </row>
    <row r="16">
      <c r="A16" s="2">
        <f>AVERAGEIF('Velocity Tracking'!B$2:B$16, "&lt;&gt;0")
</f>
        <v>19.88888889</v>
      </c>
    </row>
    <row r="17">
      <c r="A17" s="3"/>
    </row>
    <row r="18">
      <c r="A18" s="44"/>
    </row>
    <row r="19">
      <c r="A19" s="3"/>
    </row>
    <row r="20">
      <c r="A20" s="3"/>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sum(D8:D16)</f>
        <v>100</v>
      </c>
      <c r="E5" s="59">
        <f>D5</f>
        <v>100</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4" si="1">ROW()-8</f>
        <v>1</v>
      </c>
      <c r="B9" s="65" t="str">
        <f>'Sprint Goals'!B2</f>
        <v>Meeting with industry partner and getting things started (and the T-shirt of course)</v>
      </c>
      <c r="C9" s="56"/>
      <c r="D9" s="59">
        <f>sum(D19)</f>
        <v>0</v>
      </c>
      <c r="E9" s="59">
        <f>$D$5</f>
        <v>100</v>
      </c>
      <c r="F9" s="59">
        <f>sum(F19)</f>
        <v>0</v>
      </c>
      <c r="G9" s="59">
        <f>$D$5</f>
        <v>100</v>
      </c>
    </row>
    <row r="10">
      <c r="A10" s="64">
        <f t="shared" si="1"/>
        <v>2</v>
      </c>
      <c r="B10" s="65" t="str">
        <f>'Sprint Goals'!B3</f>
        <v>Start work on individual components and research unclear topics</v>
      </c>
      <c r="C10" s="56"/>
      <c r="D10" s="59">
        <f>sum(D20:D24)</f>
        <v>16</v>
      </c>
      <c r="E10" s="59">
        <f t="shared" ref="E10:E14" si="2">E9-D9</f>
        <v>100</v>
      </c>
      <c r="F10" s="59">
        <f>sum(F21:F24)</f>
        <v>14</v>
      </c>
      <c r="G10" s="59">
        <f t="shared" ref="G10:G14" si="3">G9-F9</f>
        <v>100</v>
      </c>
    </row>
    <row r="11">
      <c r="A11" s="64">
        <f t="shared" si="1"/>
        <v>3</v>
      </c>
      <c r="B11" s="65" t="str">
        <f>'Sprint Goals'!B4</f>
        <v>Combining components into a first working prototype</v>
      </c>
      <c r="C11" s="56"/>
      <c r="D11" s="59">
        <f>sum(D25:D32)</f>
        <v>21</v>
      </c>
      <c r="E11" s="59">
        <f t="shared" si="2"/>
        <v>84</v>
      </c>
      <c r="F11" s="59">
        <f>sum(F25:F32)</f>
        <v>22</v>
      </c>
      <c r="G11" s="59">
        <f t="shared" si="3"/>
        <v>86</v>
      </c>
    </row>
    <row r="12">
      <c r="A12" s="64">
        <f t="shared" si="1"/>
        <v>4</v>
      </c>
      <c r="B12" s="65" t="str">
        <f>'Sprint Goals'!B5</f>
        <v>Refining prototype and splitting out components</v>
      </c>
      <c r="C12" s="56"/>
      <c r="D12" s="56">
        <f>sum(D33:D36)</f>
        <v>13</v>
      </c>
      <c r="E12" s="59">
        <f t="shared" si="2"/>
        <v>63</v>
      </c>
      <c r="F12" s="56">
        <f>sum(F33:F36)</f>
        <v>11</v>
      </c>
      <c r="G12" s="59">
        <f t="shared" si="3"/>
        <v>64</v>
      </c>
    </row>
    <row r="13">
      <c r="A13" s="64">
        <f t="shared" si="1"/>
        <v>5</v>
      </c>
      <c r="B13" s="65" t="str">
        <f>'Sprint Goals'!B6</f>
        <v>Finishing the Implementation of the Initial Architecture</v>
      </c>
      <c r="C13" s="56"/>
      <c r="D13" s="56">
        <f>Sum(D37:D45)</f>
        <v>25</v>
      </c>
      <c r="E13" s="59">
        <f t="shared" si="2"/>
        <v>50</v>
      </c>
      <c r="F13" s="56">
        <f>sum(F37:F45)</f>
        <v>21</v>
      </c>
      <c r="G13" s="59">
        <f t="shared" si="3"/>
        <v>53</v>
      </c>
    </row>
    <row r="14">
      <c r="A14" s="64">
        <f t="shared" si="1"/>
        <v>6</v>
      </c>
      <c r="B14" s="65" t="str">
        <f>'Sprint Goals'!B7</f>
        <v>Refine component parts</v>
      </c>
      <c r="C14" s="56"/>
      <c r="D14" s="56">
        <f>Sum(D47:D56)</f>
        <v>25</v>
      </c>
      <c r="E14" s="56">
        <f t="shared" si="2"/>
        <v>25</v>
      </c>
      <c r="F14" s="56">
        <f>Sum(F47:F56)</f>
        <v>26</v>
      </c>
      <c r="G14" s="56">
        <f t="shared" si="3"/>
        <v>32</v>
      </c>
    </row>
    <row r="15">
      <c r="A15" s="64"/>
      <c r="B15" s="57"/>
      <c r="C15" s="56"/>
      <c r="D15" s="56"/>
      <c r="E15" s="56"/>
      <c r="F15" s="56"/>
      <c r="G15" s="56"/>
    </row>
    <row r="16">
      <c r="A16" s="64"/>
      <c r="B16" s="57"/>
      <c r="C16" s="56"/>
      <c r="D16" s="56"/>
      <c r="E16" s="56"/>
      <c r="F16" s="56"/>
      <c r="G16" s="56"/>
    </row>
    <row r="17">
      <c r="A17" s="66" t="s">
        <v>171</v>
      </c>
      <c r="B17" s="67"/>
      <c r="C17" s="68"/>
      <c r="D17" s="68"/>
      <c r="E17" s="68"/>
      <c r="F17" s="68"/>
      <c r="G17" s="68"/>
    </row>
    <row r="18">
      <c r="A18" s="64"/>
      <c r="B18" s="57"/>
      <c r="C18" s="56"/>
      <c r="D18" s="56"/>
      <c r="E18" s="56"/>
      <c r="F18" s="56"/>
      <c r="G18" s="56"/>
    </row>
    <row r="19">
      <c r="A19" s="69">
        <f t="shared" ref="A19:B19" si="4">A9</f>
        <v>1</v>
      </c>
      <c r="B19" s="70" t="str">
        <f t="shared" si="4"/>
        <v>Meeting with industry partner and getting things started (and the T-shirt of course)</v>
      </c>
      <c r="C19" s="56"/>
      <c r="D19" s="56"/>
      <c r="E19" s="56"/>
      <c r="F19" s="56"/>
      <c r="G19" s="56"/>
    </row>
    <row r="20">
      <c r="A20" s="69">
        <f t="shared" ref="A20:B20" si="5">A10</f>
        <v>2</v>
      </c>
      <c r="B20" s="70" t="str">
        <f t="shared" si="5"/>
        <v>Start work on individual components and research unclear topics</v>
      </c>
      <c r="C20" s="56"/>
      <c r="D20" s="56"/>
      <c r="E20" s="56"/>
      <c r="F20" s="56"/>
      <c r="G20" s="56"/>
    </row>
    <row r="21">
      <c r="A21" s="64"/>
      <c r="B21" s="71"/>
      <c r="C21" s="72" t="s">
        <v>172</v>
      </c>
      <c r="D21" s="72">
        <v>5.0</v>
      </c>
      <c r="E21" s="56"/>
      <c r="F21" s="72">
        <v>5.0</v>
      </c>
      <c r="G21" s="56"/>
    </row>
    <row r="22">
      <c r="A22" s="64"/>
      <c r="B22" s="71"/>
      <c r="C22" s="73" t="s">
        <v>173</v>
      </c>
      <c r="D22" s="74">
        <v>5.0</v>
      </c>
      <c r="E22" s="71"/>
      <c r="F22" s="74">
        <v>5.0</v>
      </c>
      <c r="G22" s="71"/>
    </row>
    <row r="23">
      <c r="A23" s="64"/>
      <c r="B23" s="71"/>
      <c r="C23" s="72" t="s">
        <v>174</v>
      </c>
      <c r="D23" s="74">
        <v>3.0</v>
      </c>
      <c r="E23" s="56"/>
      <c r="F23" s="74">
        <v>3.0</v>
      </c>
      <c r="G23" s="56"/>
    </row>
    <row r="24">
      <c r="A24" s="64"/>
      <c r="B24" s="71"/>
      <c r="C24" s="73" t="s">
        <v>175</v>
      </c>
      <c r="D24" s="74">
        <v>3.0</v>
      </c>
      <c r="E24" s="71"/>
      <c r="F24" s="74">
        <v>1.0</v>
      </c>
      <c r="G24" s="71"/>
    </row>
    <row r="25">
      <c r="A25" s="69">
        <f t="shared" ref="A25:B25" si="6">A11</f>
        <v>3</v>
      </c>
      <c r="B25" s="70" t="str">
        <f t="shared" si="6"/>
        <v>Combining components into a first working prototype</v>
      </c>
      <c r="C25" s="56"/>
      <c r="D25" s="56"/>
      <c r="E25" s="56"/>
      <c r="F25" s="56"/>
      <c r="G25" s="56"/>
    </row>
    <row r="26">
      <c r="A26" s="64"/>
      <c r="B26" s="71"/>
      <c r="C26" s="72" t="s">
        <v>176</v>
      </c>
      <c r="D26" s="72">
        <v>2.0</v>
      </c>
      <c r="E26" s="56"/>
      <c r="F26" s="72">
        <v>2.0</v>
      </c>
      <c r="G26" s="56"/>
    </row>
    <row r="27">
      <c r="A27" s="64"/>
      <c r="B27" s="71"/>
      <c r="C27" s="73" t="s">
        <v>177</v>
      </c>
      <c r="D27" s="74">
        <v>2.0</v>
      </c>
      <c r="E27" s="71"/>
      <c r="F27" s="73">
        <v>3.0</v>
      </c>
      <c r="G27" s="71"/>
    </row>
    <row r="28">
      <c r="A28" s="64"/>
      <c r="B28" s="71"/>
      <c r="C28" s="72" t="s">
        <v>178</v>
      </c>
      <c r="D28" s="74">
        <v>2.0</v>
      </c>
      <c r="E28" s="56"/>
      <c r="F28" s="72">
        <v>2.0</v>
      </c>
      <c r="G28" s="56"/>
    </row>
    <row r="29">
      <c r="A29" s="64"/>
      <c r="B29" s="71"/>
      <c r="C29" s="72" t="s">
        <v>179</v>
      </c>
      <c r="D29" s="74">
        <v>3.0</v>
      </c>
      <c r="E29" s="71"/>
      <c r="F29" s="73">
        <v>3.0</v>
      </c>
      <c r="G29" s="71"/>
    </row>
    <row r="30">
      <c r="A30" s="64"/>
      <c r="B30" s="71"/>
      <c r="C30" s="75" t="s">
        <v>180</v>
      </c>
      <c r="D30" s="74">
        <v>2.0</v>
      </c>
      <c r="E30" s="56"/>
      <c r="F30" s="72">
        <v>2.0</v>
      </c>
      <c r="G30" s="56"/>
    </row>
    <row r="31">
      <c r="A31" s="64"/>
      <c r="B31" s="71"/>
      <c r="C31" s="72" t="s">
        <v>181</v>
      </c>
      <c r="D31" s="72">
        <v>5.0</v>
      </c>
      <c r="E31" s="56"/>
      <c r="F31" s="72">
        <v>5.0</v>
      </c>
      <c r="G31" s="56"/>
    </row>
    <row r="32">
      <c r="A32" s="64"/>
      <c r="B32" s="71"/>
      <c r="C32" s="72" t="s">
        <v>182</v>
      </c>
      <c r="D32" s="72">
        <v>5.0</v>
      </c>
      <c r="E32" s="56"/>
      <c r="F32" s="72">
        <v>5.0</v>
      </c>
      <c r="G32" s="56"/>
    </row>
    <row r="33">
      <c r="A33" s="76">
        <f t="shared" ref="A33:B33" si="7">A12</f>
        <v>4</v>
      </c>
      <c r="B33" s="70" t="str">
        <f t="shared" si="7"/>
        <v>Refining prototype and splitting out components</v>
      </c>
      <c r="C33" s="56"/>
      <c r="D33" s="56"/>
      <c r="E33" s="56"/>
      <c r="F33" s="56"/>
      <c r="G33" s="56"/>
    </row>
    <row r="34">
      <c r="A34" s="64"/>
      <c r="B34" s="71"/>
      <c r="C34" s="72" t="s">
        <v>183</v>
      </c>
      <c r="D34" s="72">
        <v>5.0</v>
      </c>
      <c r="E34" s="56"/>
      <c r="F34" s="72">
        <v>3.0</v>
      </c>
      <c r="G34" s="56"/>
    </row>
    <row r="35">
      <c r="A35" s="64"/>
      <c r="B35" s="71"/>
      <c r="C35" s="72" t="s">
        <v>184</v>
      </c>
      <c r="D35" s="72">
        <v>3.0</v>
      </c>
      <c r="E35" s="56"/>
      <c r="F35" s="72">
        <v>3.0</v>
      </c>
      <c r="G35" s="56"/>
    </row>
    <row r="36">
      <c r="A36" s="64"/>
      <c r="B36" s="71"/>
      <c r="C36" s="72" t="s">
        <v>185</v>
      </c>
      <c r="D36" s="72">
        <v>5.0</v>
      </c>
      <c r="E36" s="56"/>
      <c r="F36" s="72">
        <v>5.0</v>
      </c>
      <c r="G36" s="56"/>
    </row>
    <row r="37">
      <c r="A37" s="64">
        <f t="shared" ref="A37:B37" si="8">A13</f>
        <v>5</v>
      </c>
      <c r="B37" s="70" t="str">
        <f t="shared" si="8"/>
        <v>Finishing the Implementation of the Initial Architecture</v>
      </c>
      <c r="C37" s="56"/>
      <c r="D37" s="56"/>
      <c r="E37" s="56"/>
      <c r="F37" s="56"/>
      <c r="G37" s="56"/>
    </row>
    <row r="38">
      <c r="A38" s="64"/>
      <c r="B38" s="71"/>
      <c r="C38" s="72" t="s">
        <v>186</v>
      </c>
      <c r="D38" s="72">
        <v>3.0</v>
      </c>
      <c r="E38" s="56"/>
      <c r="F38" s="72">
        <v>3.0</v>
      </c>
      <c r="G38" s="56"/>
    </row>
    <row r="39">
      <c r="A39" s="64"/>
      <c r="B39" s="71"/>
      <c r="C39" s="72" t="s">
        <v>187</v>
      </c>
      <c r="D39" s="72">
        <v>5.0</v>
      </c>
      <c r="E39" s="56"/>
      <c r="F39" s="72">
        <v>5.0</v>
      </c>
      <c r="G39" s="56"/>
    </row>
    <row r="40">
      <c r="A40" s="64"/>
      <c r="B40" s="71"/>
      <c r="C40" s="72" t="s">
        <v>188</v>
      </c>
      <c r="D40" s="72">
        <v>3.0</v>
      </c>
      <c r="E40" s="56"/>
      <c r="F40" s="72">
        <v>3.0</v>
      </c>
      <c r="G40" s="56"/>
    </row>
    <row r="41">
      <c r="A41" s="64"/>
      <c r="B41" s="71"/>
      <c r="C41" s="72" t="s">
        <v>189</v>
      </c>
      <c r="D41" s="72">
        <v>5.0</v>
      </c>
      <c r="E41" s="56"/>
      <c r="F41" s="72">
        <v>3.0</v>
      </c>
      <c r="G41" s="56"/>
    </row>
    <row r="42">
      <c r="A42" s="64"/>
      <c r="B42" s="71"/>
      <c r="C42" s="72" t="s">
        <v>190</v>
      </c>
      <c r="D42" s="72">
        <v>3.0</v>
      </c>
      <c r="E42" s="56"/>
      <c r="F42" s="72">
        <v>3.0</v>
      </c>
      <c r="G42" s="56"/>
    </row>
    <row r="43">
      <c r="A43" s="64"/>
      <c r="B43" s="71"/>
      <c r="C43" s="72" t="s">
        <v>191</v>
      </c>
      <c r="D43" s="72">
        <v>3.0</v>
      </c>
      <c r="E43" s="56"/>
      <c r="F43" s="72">
        <v>3.0</v>
      </c>
      <c r="G43" s="56"/>
    </row>
    <row r="44">
      <c r="A44" s="64"/>
      <c r="B44" s="71"/>
      <c r="C44" s="72" t="s">
        <v>192</v>
      </c>
      <c r="D44" s="72">
        <v>1.0</v>
      </c>
      <c r="E44" s="56"/>
      <c r="F44" s="72">
        <v>1.0</v>
      </c>
      <c r="G44" s="56"/>
    </row>
    <row r="45">
      <c r="A45" s="64"/>
      <c r="B45" s="71"/>
      <c r="C45" s="72" t="s">
        <v>193</v>
      </c>
      <c r="D45" s="72">
        <v>2.0</v>
      </c>
      <c r="E45" s="56"/>
      <c r="F45" s="72">
        <v>0.0</v>
      </c>
      <c r="G45" s="56"/>
    </row>
    <row r="46">
      <c r="A46" s="64"/>
      <c r="B46" s="71"/>
      <c r="C46" s="72"/>
      <c r="D46" s="72"/>
      <c r="E46" s="56"/>
      <c r="F46" s="56"/>
      <c r="G46" s="56"/>
    </row>
    <row r="47">
      <c r="A47" s="64">
        <f t="shared" ref="A47:B47" si="9">A14</f>
        <v>6</v>
      </c>
      <c r="B47" s="70" t="str">
        <f t="shared" si="9"/>
        <v>Refine component parts</v>
      </c>
      <c r="C47" s="56"/>
      <c r="D47" s="56"/>
      <c r="E47" s="56"/>
      <c r="F47" s="56"/>
      <c r="G47" s="56"/>
    </row>
    <row r="48">
      <c r="A48" s="64"/>
      <c r="B48" s="71"/>
      <c r="C48" s="72" t="s">
        <v>194</v>
      </c>
      <c r="D48" s="72">
        <v>3.0</v>
      </c>
      <c r="E48" s="56"/>
      <c r="F48" s="72">
        <v>1.0</v>
      </c>
      <c r="G48" s="56"/>
    </row>
    <row r="49">
      <c r="A49" s="64"/>
      <c r="B49" s="71"/>
      <c r="C49" s="72" t="s">
        <v>195</v>
      </c>
      <c r="D49" s="72">
        <v>3.0</v>
      </c>
      <c r="E49" s="56"/>
      <c r="F49" s="72">
        <v>2.0</v>
      </c>
      <c r="G49" s="56"/>
    </row>
    <row r="50">
      <c r="A50" s="64"/>
      <c r="B50" s="71"/>
      <c r="C50" s="72" t="s">
        <v>196</v>
      </c>
      <c r="D50" s="72">
        <v>3.0</v>
      </c>
      <c r="E50" s="56"/>
      <c r="F50" s="72">
        <v>3.0</v>
      </c>
      <c r="G50" s="56"/>
    </row>
    <row r="51">
      <c r="A51" s="64"/>
      <c r="B51" s="71"/>
      <c r="C51" s="72" t="s">
        <v>197</v>
      </c>
      <c r="D51" s="72">
        <v>3.0</v>
      </c>
      <c r="E51" s="56"/>
      <c r="F51" s="72">
        <v>3.0</v>
      </c>
      <c r="G51" s="56"/>
    </row>
    <row r="52">
      <c r="A52" s="64"/>
      <c r="B52" s="71"/>
      <c r="C52" s="72" t="s">
        <v>198</v>
      </c>
      <c r="D52" s="72">
        <v>2.0</v>
      </c>
      <c r="E52" s="56"/>
      <c r="F52" s="72">
        <v>2.0</v>
      </c>
      <c r="G52" s="56"/>
    </row>
    <row r="53">
      <c r="A53" s="64"/>
      <c r="B53" s="71"/>
      <c r="C53" s="72" t="s">
        <v>199</v>
      </c>
      <c r="D53" s="72">
        <v>2.0</v>
      </c>
      <c r="E53" s="56"/>
      <c r="F53" s="72">
        <v>2.0</v>
      </c>
      <c r="G53" s="56"/>
    </row>
    <row r="54">
      <c r="A54" s="64"/>
      <c r="B54" s="71"/>
      <c r="C54" s="72" t="s">
        <v>200</v>
      </c>
      <c r="D54" s="72">
        <v>3.0</v>
      </c>
      <c r="E54" s="56"/>
      <c r="F54" s="72">
        <v>5.0</v>
      </c>
      <c r="G54" s="56"/>
    </row>
    <row r="55">
      <c r="A55" s="64"/>
      <c r="B55" s="71"/>
      <c r="C55" s="72" t="s">
        <v>201</v>
      </c>
      <c r="D55" s="72">
        <v>3.0</v>
      </c>
      <c r="E55" s="56"/>
      <c r="F55" s="72">
        <v>3.0</v>
      </c>
      <c r="G55" s="56"/>
    </row>
    <row r="56">
      <c r="A56" s="64"/>
      <c r="B56" s="71"/>
      <c r="C56" s="72" t="s">
        <v>202</v>
      </c>
      <c r="D56" s="72">
        <v>3.0</v>
      </c>
      <c r="E56" s="56"/>
      <c r="F56" s="72">
        <v>5.0</v>
      </c>
      <c r="G56" s="56"/>
    </row>
    <row r="57">
      <c r="A57" s="64"/>
      <c r="B57" s="71"/>
      <c r="C57" s="56"/>
      <c r="D57" s="56"/>
      <c r="E57" s="56"/>
      <c r="F57" s="56"/>
      <c r="G57" s="5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sum(D8:D18)</f>
        <v>121</v>
      </c>
      <c r="E5" s="59">
        <f>D5</f>
        <v>121</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7" si="1">ROW()-2</f>
        <v>7</v>
      </c>
      <c r="B9" s="65" t="str">
        <f>'Sprint Goals'!B8</f>
        <v>Improve Extensibility and Documentation</v>
      </c>
      <c r="C9" s="56"/>
      <c r="D9" s="59">
        <f>sum(D21:D28)</f>
        <v>22</v>
      </c>
      <c r="E9" s="59">
        <f>$D$5</f>
        <v>121</v>
      </c>
      <c r="F9" s="59">
        <f>sum(F21:F28)</f>
        <v>24</v>
      </c>
      <c r="G9" s="59">
        <f>$D$5</f>
        <v>121</v>
      </c>
    </row>
    <row r="10">
      <c r="A10" s="64">
        <f t="shared" si="1"/>
        <v>8</v>
      </c>
      <c r="B10" s="65" t="str">
        <f>'Sprint Goals'!B9</f>
        <v>Refining the overall look and feel</v>
      </c>
      <c r="C10" s="56"/>
      <c r="D10" s="59">
        <f>sum(D30:D41)</f>
        <v>24</v>
      </c>
      <c r="E10" s="59">
        <f t="shared" ref="E10:E17" si="2">E9-D9</f>
        <v>99</v>
      </c>
      <c r="F10" s="59">
        <f>sum(F30:F41)</f>
        <v>19</v>
      </c>
      <c r="G10" s="59">
        <f t="shared" ref="G10:G17" si="3">G9-F9</f>
        <v>97</v>
      </c>
    </row>
    <row r="11">
      <c r="A11" s="64">
        <f t="shared" si="1"/>
        <v>9</v>
      </c>
      <c r="B11" s="65" t="str">
        <f>'Sprint Goals'!B10</f>
        <v>Project integration with real SFU</v>
      </c>
      <c r="C11" s="56"/>
      <c r="D11" s="59">
        <f>sum(D43:D51)</f>
        <v>24</v>
      </c>
      <c r="E11" s="59">
        <f t="shared" si="2"/>
        <v>75</v>
      </c>
      <c r="F11" s="59">
        <f>sum(F43:F51)</f>
        <v>19</v>
      </c>
      <c r="G11" s="59">
        <f t="shared" si="3"/>
        <v>78</v>
      </c>
    </row>
    <row r="12">
      <c r="A12" s="64">
        <f t="shared" si="1"/>
        <v>10</v>
      </c>
      <c r="B12" s="65" t="str">
        <f>'Sprint Goals'!B11</f>
        <v>Technical Improvements and Experiments</v>
      </c>
      <c r="C12" s="56"/>
      <c r="D12" s="59">
        <f>sum(D53:D61)</f>
        <v>22</v>
      </c>
      <c r="E12" s="59">
        <f t="shared" si="2"/>
        <v>51</v>
      </c>
      <c r="F12" s="59">
        <f>sum(F53:F61)</f>
        <v>23</v>
      </c>
      <c r="G12" s="59">
        <f t="shared" si="3"/>
        <v>59</v>
      </c>
    </row>
    <row r="13">
      <c r="A13" s="64">
        <f t="shared" si="1"/>
        <v>11</v>
      </c>
      <c r="B13" s="65" t="str">
        <f>'Sprint Goals'!B12</f>
        <v>Refactoring and Testing</v>
      </c>
      <c r="C13" s="56"/>
      <c r="D13" s="59">
        <f>SUM(D63:D70)</f>
        <v>29</v>
      </c>
      <c r="E13" s="59">
        <f t="shared" si="2"/>
        <v>29</v>
      </c>
      <c r="F13" s="59">
        <f>SUM(F63:F70)</f>
        <v>0</v>
      </c>
      <c r="G13" s="59">
        <f t="shared" si="3"/>
        <v>36</v>
      </c>
    </row>
    <row r="14">
      <c r="A14" s="64">
        <f t="shared" si="1"/>
        <v>12</v>
      </c>
      <c r="B14" s="65" t="str">
        <f>'Sprint Goals'!B13</f>
        <v>Refining the Frontend</v>
      </c>
      <c r="C14" s="56"/>
      <c r="D14" s="59">
        <f>sum(D72:D77)</f>
        <v>0</v>
      </c>
      <c r="E14" s="56">
        <f t="shared" si="2"/>
        <v>0</v>
      </c>
      <c r="F14" s="59">
        <f>sum(F72:F77)</f>
        <v>0</v>
      </c>
      <c r="G14" s="56">
        <f t="shared" si="3"/>
        <v>36</v>
      </c>
    </row>
    <row r="15">
      <c r="A15" s="64">
        <f t="shared" si="1"/>
        <v>13</v>
      </c>
      <c r="B15" s="57" t="str">
        <f>'Sprint Goals'!B14</f>
        <v>Performance Improvements</v>
      </c>
      <c r="C15" s="56"/>
      <c r="D15" s="59">
        <f>sum(D79:D84)</f>
        <v>0</v>
      </c>
      <c r="E15" s="56">
        <f t="shared" si="2"/>
        <v>0</v>
      </c>
      <c r="F15" s="59">
        <f>sum(F79:F84)</f>
        <v>0</v>
      </c>
      <c r="G15" s="56">
        <f t="shared" si="3"/>
        <v>36</v>
      </c>
    </row>
    <row r="16">
      <c r="A16" s="64">
        <f t="shared" si="1"/>
        <v>14</v>
      </c>
      <c r="B16" s="57" t="str">
        <f>'Sprint Goals'!B15</f>
        <v>Finalizing the Documentation and Preparing for Demo Day</v>
      </c>
      <c r="C16" s="56"/>
      <c r="D16" s="59">
        <f>sum(D86:D92)</f>
        <v>0</v>
      </c>
      <c r="E16" s="56">
        <f t="shared" si="2"/>
        <v>0</v>
      </c>
      <c r="F16" s="59">
        <f>sum(F86:F92)</f>
        <v>0</v>
      </c>
      <c r="G16" s="56">
        <f t="shared" si="3"/>
        <v>36</v>
      </c>
    </row>
    <row r="17">
      <c r="A17" s="64">
        <f t="shared" si="1"/>
        <v>15</v>
      </c>
      <c r="B17" s="57" t="str">
        <f>'Sprint Goals'!B16</f>
        <v>Reflecting on the Project</v>
      </c>
      <c r="C17" s="56"/>
      <c r="D17" s="59">
        <f>sum(D94:D95)</f>
        <v>0</v>
      </c>
      <c r="E17" s="56">
        <f t="shared" si="2"/>
        <v>0</v>
      </c>
      <c r="F17" s="59">
        <f>sum(F94:F95)</f>
        <v>0</v>
      </c>
      <c r="G17" s="56">
        <f t="shared" si="3"/>
        <v>36</v>
      </c>
    </row>
    <row r="18">
      <c r="A18" s="64"/>
      <c r="B18" s="57"/>
      <c r="C18" s="56"/>
      <c r="D18" s="56"/>
      <c r="E18" s="56"/>
      <c r="F18" s="56"/>
      <c r="G18" s="56"/>
    </row>
    <row r="19">
      <c r="A19" s="66" t="s">
        <v>171</v>
      </c>
      <c r="B19" s="67"/>
      <c r="C19" s="68"/>
      <c r="D19" s="68"/>
      <c r="E19" s="68"/>
      <c r="F19" s="68"/>
      <c r="G19" s="68"/>
    </row>
    <row r="20">
      <c r="A20" s="64"/>
      <c r="B20" s="57"/>
      <c r="C20" s="56"/>
      <c r="D20" s="56"/>
      <c r="E20" s="56"/>
      <c r="F20" s="56"/>
      <c r="G20" s="56"/>
    </row>
    <row r="21">
      <c r="A21" s="69">
        <f t="shared" ref="A21:B21" si="4">A9</f>
        <v>7</v>
      </c>
      <c r="B21" s="65" t="str">
        <f t="shared" si="4"/>
        <v>Improve Extensibility and Documentation</v>
      </c>
      <c r="C21" s="56"/>
      <c r="D21" s="56"/>
      <c r="E21" s="56"/>
      <c r="F21" s="56"/>
      <c r="G21" s="56"/>
    </row>
    <row r="22">
      <c r="A22" s="69"/>
      <c r="B22" s="65"/>
      <c r="C22" s="72" t="s">
        <v>203</v>
      </c>
      <c r="D22" s="72">
        <v>3.0</v>
      </c>
      <c r="E22" s="56"/>
      <c r="F22" s="72">
        <v>2.0</v>
      </c>
      <c r="G22" s="56"/>
    </row>
    <row r="23">
      <c r="A23" s="69"/>
      <c r="B23" s="65"/>
      <c r="C23" s="72" t="s">
        <v>204</v>
      </c>
      <c r="D23" s="72">
        <v>3.0</v>
      </c>
      <c r="E23" s="56"/>
      <c r="F23" s="72">
        <v>5.0</v>
      </c>
      <c r="G23" s="56"/>
    </row>
    <row r="24">
      <c r="A24" s="69"/>
      <c r="B24" s="65"/>
      <c r="C24" s="72" t="s">
        <v>205</v>
      </c>
      <c r="D24" s="72">
        <v>3.0</v>
      </c>
      <c r="E24" s="56"/>
      <c r="F24" s="72">
        <v>2.0</v>
      </c>
      <c r="G24" s="56"/>
    </row>
    <row r="25">
      <c r="A25" s="69"/>
      <c r="B25" s="65"/>
      <c r="C25" s="72" t="s">
        <v>206</v>
      </c>
      <c r="D25" s="72">
        <v>3.0</v>
      </c>
      <c r="E25" s="56"/>
      <c r="F25" s="72">
        <v>1.0</v>
      </c>
      <c r="G25" s="56"/>
    </row>
    <row r="26">
      <c r="A26" s="64"/>
      <c r="B26" s="71"/>
      <c r="C26" s="72" t="s">
        <v>207</v>
      </c>
      <c r="D26" s="72">
        <v>2.0</v>
      </c>
      <c r="E26" s="56"/>
      <c r="F26" s="72">
        <v>3.0</v>
      </c>
      <c r="G26" s="56"/>
    </row>
    <row r="27">
      <c r="A27" s="64"/>
      <c r="B27" s="71"/>
      <c r="C27" s="72" t="s">
        <v>208</v>
      </c>
      <c r="D27" s="72">
        <v>3.0</v>
      </c>
      <c r="E27" s="56"/>
      <c r="F27" s="72">
        <v>3.0</v>
      </c>
      <c r="G27" s="56"/>
    </row>
    <row r="28">
      <c r="A28" s="64"/>
      <c r="B28" s="71"/>
      <c r="C28" s="72" t="s">
        <v>209</v>
      </c>
      <c r="D28" s="72">
        <v>5.0</v>
      </c>
      <c r="E28" s="56"/>
      <c r="F28" s="72">
        <v>8.0</v>
      </c>
      <c r="G28" s="56"/>
    </row>
    <row r="29">
      <c r="A29" s="64"/>
      <c r="B29" s="71"/>
      <c r="C29" s="72"/>
      <c r="D29" s="72"/>
      <c r="E29" s="56"/>
      <c r="F29" s="56"/>
      <c r="G29" s="56"/>
    </row>
    <row r="30">
      <c r="A30" s="69">
        <f t="shared" ref="A30:B30" si="5">A10</f>
        <v>8</v>
      </c>
      <c r="B30" s="65" t="str">
        <f t="shared" si="5"/>
        <v>Refining the overall look and feel</v>
      </c>
      <c r="C30" s="56"/>
      <c r="D30" s="56"/>
      <c r="E30" s="56"/>
      <c r="F30" s="56"/>
      <c r="G30" s="56"/>
    </row>
    <row r="31">
      <c r="A31" s="69"/>
      <c r="B31" s="65"/>
      <c r="C31" s="75" t="s">
        <v>210</v>
      </c>
      <c r="D31" s="74">
        <v>1.0</v>
      </c>
      <c r="E31" s="56"/>
      <c r="F31" s="72">
        <v>0.0</v>
      </c>
      <c r="G31" s="56"/>
    </row>
    <row r="32">
      <c r="A32" s="64"/>
      <c r="B32" s="71"/>
      <c r="C32" s="72" t="s">
        <v>211</v>
      </c>
      <c r="D32" s="72">
        <v>3.0</v>
      </c>
      <c r="E32" s="56"/>
      <c r="F32" s="72">
        <v>3.0</v>
      </c>
      <c r="G32" s="56"/>
    </row>
    <row r="33">
      <c r="A33" s="64"/>
      <c r="B33" s="71"/>
      <c r="C33" s="72" t="s">
        <v>212</v>
      </c>
      <c r="D33" s="72">
        <v>2.0</v>
      </c>
      <c r="E33" s="56"/>
      <c r="F33" s="72">
        <v>1.0</v>
      </c>
      <c r="G33" s="56"/>
    </row>
    <row r="34">
      <c r="A34" s="64"/>
      <c r="B34" s="71"/>
      <c r="C34" s="72" t="s">
        <v>213</v>
      </c>
      <c r="D34" s="72">
        <v>1.0</v>
      </c>
      <c r="E34" s="56"/>
      <c r="F34" s="72">
        <v>1.0</v>
      </c>
      <c r="G34" s="56"/>
    </row>
    <row r="35">
      <c r="A35" s="64"/>
      <c r="B35" s="71"/>
      <c r="C35" s="72" t="s">
        <v>214</v>
      </c>
      <c r="D35" s="72">
        <v>2.0</v>
      </c>
      <c r="E35" s="56"/>
      <c r="F35" s="72">
        <v>2.0</v>
      </c>
      <c r="G35" s="56"/>
    </row>
    <row r="36">
      <c r="A36" s="64"/>
      <c r="B36" s="70"/>
      <c r="C36" s="72" t="s">
        <v>215</v>
      </c>
      <c r="D36" s="72">
        <v>3.0</v>
      </c>
      <c r="E36" s="56"/>
      <c r="F36" s="72">
        <v>2.0</v>
      </c>
      <c r="G36" s="56"/>
    </row>
    <row r="37">
      <c r="A37" s="64"/>
      <c r="B37" s="71"/>
      <c r="C37" s="72" t="s">
        <v>216</v>
      </c>
      <c r="D37" s="72">
        <v>2.0</v>
      </c>
      <c r="E37" s="56"/>
      <c r="F37" s="72">
        <v>2.0</v>
      </c>
      <c r="G37" s="56"/>
    </row>
    <row r="38">
      <c r="A38" s="64"/>
      <c r="B38" s="71"/>
      <c r="C38" s="72" t="s">
        <v>217</v>
      </c>
      <c r="D38" s="72">
        <v>2.0</v>
      </c>
      <c r="E38" s="56"/>
      <c r="F38" s="72">
        <v>1.0</v>
      </c>
      <c r="G38" s="56"/>
    </row>
    <row r="39">
      <c r="A39" s="64"/>
      <c r="B39" s="71"/>
      <c r="C39" s="72" t="s">
        <v>218</v>
      </c>
      <c r="D39" s="72">
        <v>3.0</v>
      </c>
      <c r="E39" s="56"/>
      <c r="F39" s="72">
        <v>3.0</v>
      </c>
      <c r="G39" s="56"/>
    </row>
    <row r="40">
      <c r="A40" s="64"/>
      <c r="B40" s="71"/>
      <c r="C40" s="72" t="s">
        <v>219</v>
      </c>
      <c r="D40" s="72">
        <v>2.0</v>
      </c>
      <c r="E40" s="56"/>
      <c r="F40" s="72">
        <v>1.0</v>
      </c>
      <c r="G40" s="56"/>
    </row>
    <row r="41">
      <c r="A41" s="64"/>
      <c r="B41" s="71"/>
      <c r="C41" s="72" t="s">
        <v>220</v>
      </c>
      <c r="D41" s="72">
        <v>3.0</v>
      </c>
      <c r="E41" s="56"/>
      <c r="F41" s="72">
        <v>3.0</v>
      </c>
      <c r="G41" s="56"/>
    </row>
    <row r="42">
      <c r="A42" s="64"/>
      <c r="B42" s="71"/>
      <c r="C42" s="72"/>
      <c r="D42" s="72"/>
      <c r="E42" s="56"/>
      <c r="F42" s="72"/>
      <c r="G42" s="56"/>
    </row>
    <row r="43">
      <c r="A43" s="69">
        <f t="shared" ref="A43:B43" si="6">A11</f>
        <v>9</v>
      </c>
      <c r="B43" s="65" t="str">
        <f t="shared" si="6"/>
        <v>Project integration with real SFU</v>
      </c>
      <c r="C43" s="72"/>
      <c r="D43" s="72"/>
      <c r="E43" s="56"/>
      <c r="F43" s="72"/>
      <c r="G43" s="56"/>
    </row>
    <row r="44">
      <c r="A44" s="64"/>
      <c r="B44" s="71"/>
      <c r="C44" s="72" t="s">
        <v>221</v>
      </c>
      <c r="D44" s="72">
        <v>5.0</v>
      </c>
      <c r="E44" s="56"/>
      <c r="F44" s="72">
        <v>5.0</v>
      </c>
      <c r="G44" s="56"/>
    </row>
    <row r="45">
      <c r="A45" s="76"/>
      <c r="B45" s="70"/>
      <c r="C45" s="72" t="s">
        <v>222</v>
      </c>
      <c r="D45" s="72">
        <v>3.0</v>
      </c>
      <c r="E45" s="56"/>
      <c r="F45" s="72">
        <v>2.0</v>
      </c>
      <c r="G45" s="56"/>
    </row>
    <row r="46">
      <c r="A46" s="64"/>
      <c r="B46" s="71"/>
      <c r="C46" s="72" t="s">
        <v>223</v>
      </c>
      <c r="D46" s="72">
        <v>2.0</v>
      </c>
      <c r="E46" s="56"/>
      <c r="F46" s="72">
        <v>2.0</v>
      </c>
      <c r="G46" s="56"/>
    </row>
    <row r="47">
      <c r="C47" s="34" t="s">
        <v>224</v>
      </c>
      <c r="D47" s="34">
        <v>2.0</v>
      </c>
      <c r="F47" s="34">
        <v>2.0</v>
      </c>
    </row>
    <row r="48">
      <c r="A48" s="64"/>
      <c r="B48" s="71"/>
      <c r="C48" s="72" t="s">
        <v>225</v>
      </c>
      <c r="D48" s="72">
        <v>3.0</v>
      </c>
      <c r="E48" s="56"/>
      <c r="F48" s="72">
        <v>3.0</v>
      </c>
      <c r="G48" s="56"/>
    </row>
    <row r="49">
      <c r="C49" s="34" t="s">
        <v>226</v>
      </c>
      <c r="D49" s="34">
        <v>3.0</v>
      </c>
      <c r="F49" s="34">
        <v>2.0</v>
      </c>
    </row>
    <row r="50">
      <c r="C50" s="34" t="s">
        <v>227</v>
      </c>
      <c r="D50" s="34">
        <v>3.0</v>
      </c>
      <c r="F50" s="34">
        <v>1.0</v>
      </c>
    </row>
    <row r="51">
      <c r="A51" s="69"/>
      <c r="B51" s="73"/>
      <c r="C51" s="72" t="s">
        <v>228</v>
      </c>
      <c r="D51" s="72">
        <v>3.0</v>
      </c>
      <c r="E51" s="56"/>
      <c r="F51" s="72">
        <v>2.0</v>
      </c>
      <c r="G51" s="56"/>
    </row>
    <row r="52">
      <c r="A52" s="64"/>
      <c r="B52" s="71"/>
      <c r="C52" s="72"/>
      <c r="D52" s="72"/>
      <c r="E52" s="56"/>
      <c r="F52" s="56"/>
      <c r="G52" s="56"/>
    </row>
    <row r="53">
      <c r="A53" s="78">
        <f t="shared" ref="A53:B53" si="7">A12</f>
        <v>10</v>
      </c>
      <c r="B53" s="70" t="str">
        <f t="shared" si="7"/>
        <v>Technical Improvements and Experiments</v>
      </c>
      <c r="C53" s="72"/>
      <c r="D53" s="72"/>
      <c r="E53" s="56"/>
      <c r="F53" s="56"/>
      <c r="G53" s="56"/>
    </row>
    <row r="54">
      <c r="A54" s="64"/>
      <c r="B54" s="71"/>
      <c r="C54" s="72" t="s">
        <v>229</v>
      </c>
      <c r="D54" s="72">
        <v>3.0</v>
      </c>
      <c r="E54" s="56"/>
      <c r="F54" s="72">
        <v>3.0</v>
      </c>
      <c r="G54" s="56"/>
    </row>
    <row r="55">
      <c r="A55" s="64"/>
      <c r="B55" s="71"/>
      <c r="C55" s="72" t="s">
        <v>230</v>
      </c>
      <c r="D55" s="72">
        <v>5.0</v>
      </c>
      <c r="E55" s="56"/>
      <c r="F55" s="72">
        <v>8.0</v>
      </c>
      <c r="G55" s="56"/>
    </row>
    <row r="56">
      <c r="C56" s="34" t="s">
        <v>231</v>
      </c>
      <c r="D56" s="34">
        <v>2.0</v>
      </c>
      <c r="F56" s="34">
        <v>1.0</v>
      </c>
    </row>
    <row r="57">
      <c r="C57" s="34" t="s">
        <v>232</v>
      </c>
      <c r="D57" s="34">
        <v>3.0</v>
      </c>
      <c r="F57" s="34">
        <v>3.0</v>
      </c>
    </row>
    <row r="58">
      <c r="A58" s="64"/>
      <c r="B58" s="71"/>
      <c r="C58" s="72" t="s">
        <v>233</v>
      </c>
      <c r="D58" s="72">
        <v>2.0</v>
      </c>
      <c r="E58" s="56"/>
      <c r="F58" s="72">
        <v>2.0</v>
      </c>
      <c r="G58" s="56"/>
    </row>
    <row r="59">
      <c r="A59" s="64"/>
      <c r="B59" s="71"/>
      <c r="C59" s="72" t="s">
        <v>234</v>
      </c>
      <c r="D59" s="72">
        <v>3.0</v>
      </c>
      <c r="E59" s="56"/>
      <c r="F59" s="72">
        <v>2.0</v>
      </c>
      <c r="G59" s="56"/>
    </row>
    <row r="60">
      <c r="A60" s="64"/>
      <c r="B60" s="71"/>
      <c r="C60" s="72" t="s">
        <v>235</v>
      </c>
      <c r="D60" s="72">
        <v>2.0</v>
      </c>
      <c r="E60" s="56"/>
      <c r="F60" s="72">
        <v>2.0</v>
      </c>
      <c r="G60" s="56"/>
    </row>
    <row r="61">
      <c r="A61" s="64"/>
      <c r="B61" s="71"/>
      <c r="C61" s="72" t="s">
        <v>236</v>
      </c>
      <c r="D61" s="72">
        <v>2.0</v>
      </c>
      <c r="E61" s="56"/>
      <c r="F61" s="72">
        <v>2.0</v>
      </c>
      <c r="G61" s="56"/>
    </row>
    <row r="62">
      <c r="A62" s="69"/>
      <c r="B62" s="65"/>
      <c r="C62" s="73"/>
      <c r="D62" s="74"/>
      <c r="E62" s="71"/>
      <c r="F62" s="74"/>
      <c r="G62" s="71"/>
    </row>
    <row r="63">
      <c r="A63" s="69">
        <f t="shared" ref="A63:B63" si="8">A13</f>
        <v>11</v>
      </c>
      <c r="B63" s="65" t="str">
        <f t="shared" si="8"/>
        <v>Refactoring and Testing</v>
      </c>
      <c r="C63" s="73"/>
      <c r="D63" s="74"/>
      <c r="E63" s="71"/>
      <c r="F63" s="74"/>
      <c r="G63" s="71"/>
    </row>
    <row r="64">
      <c r="A64" s="64"/>
      <c r="B64" s="71"/>
      <c r="C64" s="72" t="s">
        <v>237</v>
      </c>
      <c r="D64" s="72">
        <v>5.0</v>
      </c>
      <c r="E64" s="56"/>
      <c r="F64" s="72"/>
      <c r="G64" s="56"/>
    </row>
    <row r="65">
      <c r="A65" s="69"/>
      <c r="B65" s="65"/>
      <c r="C65" s="73" t="s">
        <v>238</v>
      </c>
      <c r="D65" s="74">
        <v>3.0</v>
      </c>
      <c r="E65" s="71"/>
      <c r="F65" s="72"/>
      <c r="G65" s="71"/>
    </row>
    <row r="66">
      <c r="C66" s="34" t="s">
        <v>239</v>
      </c>
      <c r="D66" s="34">
        <v>5.0</v>
      </c>
      <c r="F66" s="72"/>
    </row>
    <row r="67">
      <c r="C67" s="34" t="s">
        <v>240</v>
      </c>
      <c r="D67" s="34">
        <v>5.0</v>
      </c>
      <c r="F67" s="72"/>
    </row>
    <row r="68">
      <c r="C68" s="34" t="s">
        <v>241</v>
      </c>
      <c r="D68" s="34">
        <v>3.0</v>
      </c>
      <c r="F68" s="72"/>
    </row>
    <row r="69">
      <c r="C69" s="34" t="s">
        <v>242</v>
      </c>
      <c r="D69" s="34">
        <v>3.0</v>
      </c>
      <c r="F69" s="72"/>
    </row>
    <row r="70">
      <c r="A70" s="64"/>
      <c r="B70" s="71"/>
      <c r="C70" s="72" t="s">
        <v>243</v>
      </c>
      <c r="D70" s="72">
        <v>5.0</v>
      </c>
      <c r="E70" s="56"/>
      <c r="F70" s="72"/>
      <c r="G70" s="56"/>
    </row>
    <row r="71">
      <c r="C71" s="34"/>
    </row>
    <row r="72">
      <c r="A72" s="79">
        <f t="shared" ref="A72:B72" si="9">A14</f>
        <v>12</v>
      </c>
      <c r="B72" s="80" t="str">
        <f t="shared" si="9"/>
        <v>Refining the Frontend</v>
      </c>
      <c r="C72" s="34"/>
    </row>
    <row r="73">
      <c r="C73" s="34" t="s">
        <v>244</v>
      </c>
    </row>
    <row r="74">
      <c r="C74" s="34" t="s">
        <v>245</v>
      </c>
    </row>
    <row r="75">
      <c r="C75" s="34" t="s">
        <v>246</v>
      </c>
    </row>
    <row r="76">
      <c r="A76" s="64"/>
      <c r="B76" s="71"/>
      <c r="C76" s="72" t="s">
        <v>247</v>
      </c>
      <c r="E76" s="56"/>
      <c r="G76" s="56"/>
    </row>
    <row r="77">
      <c r="A77" s="64"/>
      <c r="B77" s="71"/>
      <c r="C77" s="72" t="s">
        <v>248</v>
      </c>
      <c r="E77" s="56"/>
      <c r="G77" s="56"/>
    </row>
    <row r="78">
      <c r="A78" s="64"/>
      <c r="B78" s="71"/>
      <c r="C78" s="72"/>
      <c r="D78" s="56"/>
      <c r="E78" s="56"/>
      <c r="G78" s="56"/>
    </row>
    <row r="79">
      <c r="A79" s="78">
        <f t="shared" ref="A79:B79" si="10">A15</f>
        <v>13</v>
      </c>
      <c r="B79" s="70" t="str">
        <f t="shared" si="10"/>
        <v>Performance Improvements</v>
      </c>
      <c r="C79" s="72"/>
      <c r="D79" s="56"/>
      <c r="E79" s="56"/>
      <c r="G79" s="56"/>
    </row>
    <row r="80">
      <c r="C80" s="34" t="s">
        <v>249</v>
      </c>
    </row>
    <row r="81">
      <c r="C81" s="34" t="s">
        <v>250</v>
      </c>
    </row>
    <row r="82">
      <c r="C82" s="34" t="s">
        <v>251</v>
      </c>
    </row>
    <row r="83">
      <c r="A83" s="64"/>
      <c r="B83" s="71"/>
      <c r="C83" s="72" t="s">
        <v>252</v>
      </c>
      <c r="E83" s="56"/>
      <c r="G83" s="56"/>
    </row>
    <row r="84">
      <c r="A84" s="64"/>
      <c r="B84" s="71"/>
      <c r="C84" s="72" t="s">
        <v>253</v>
      </c>
      <c r="E84" s="56"/>
      <c r="G84" s="56"/>
    </row>
    <row r="85">
      <c r="A85" s="64"/>
      <c r="B85" s="71"/>
      <c r="C85" s="72"/>
      <c r="D85" s="56"/>
      <c r="E85" s="56"/>
      <c r="G85" s="56"/>
    </row>
    <row r="86">
      <c r="A86" s="78">
        <f t="shared" ref="A86:B86" si="11">A16</f>
        <v>14</v>
      </c>
      <c r="B86" s="70" t="str">
        <f t="shared" si="11"/>
        <v>Finalizing the Documentation and Preparing for Demo Day</v>
      </c>
      <c r="C86" s="72"/>
      <c r="D86" s="72"/>
      <c r="E86" s="56"/>
      <c r="G86" s="56"/>
    </row>
    <row r="87">
      <c r="A87" s="64"/>
      <c r="B87" s="71"/>
      <c r="C87" s="72" t="s">
        <v>254</v>
      </c>
      <c r="D87" s="72"/>
      <c r="E87" s="56"/>
      <c r="G87" s="56"/>
    </row>
    <row r="88">
      <c r="A88" s="64"/>
      <c r="B88" s="71"/>
      <c r="C88" s="72" t="s">
        <v>255</v>
      </c>
      <c r="D88" s="72"/>
      <c r="E88" s="56"/>
      <c r="G88" s="56"/>
    </row>
    <row r="89" ht="13.5" customHeight="1">
      <c r="A89" s="64"/>
      <c r="B89" s="71"/>
      <c r="C89" s="72" t="s">
        <v>256</v>
      </c>
      <c r="D89" s="72"/>
      <c r="E89" s="56"/>
      <c r="G89" s="56"/>
    </row>
    <row r="90">
      <c r="A90" s="69"/>
      <c r="B90" s="65"/>
      <c r="C90" s="72" t="s">
        <v>257</v>
      </c>
      <c r="D90" s="72"/>
      <c r="E90" s="56"/>
      <c r="G90" s="56"/>
    </row>
    <row r="91">
      <c r="C91" s="34" t="s">
        <v>258</v>
      </c>
      <c r="D91" s="72"/>
    </row>
    <row r="92">
      <c r="C92" s="34" t="s">
        <v>259</v>
      </c>
      <c r="D92" s="72"/>
    </row>
    <row r="93">
      <c r="A93" s="69"/>
      <c r="B93" s="65"/>
      <c r="C93" s="72"/>
      <c r="D93" s="74"/>
      <c r="E93" s="56"/>
      <c r="F93" s="74"/>
      <c r="G93" s="56"/>
    </row>
    <row r="94" ht="14.25" customHeight="1">
      <c r="A94" s="69">
        <f t="shared" ref="A94:B94" si="12">A17</f>
        <v>15</v>
      </c>
      <c r="B94" s="65" t="str">
        <f t="shared" si="12"/>
        <v>Reflecting on the Project</v>
      </c>
      <c r="C94" s="72"/>
      <c r="D94" s="74"/>
      <c r="E94" s="56"/>
      <c r="F94" s="74"/>
      <c r="G94" s="56"/>
    </row>
    <row r="95">
      <c r="C95" s="34" t="s">
        <v>260</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1" t="s">
        <v>65</v>
      </c>
      <c r="B1" s="46" t="s">
        <v>261</v>
      </c>
      <c r="C1" s="46" t="s">
        <v>262</v>
      </c>
      <c r="D1" s="82" t="s">
        <v>263</v>
      </c>
    </row>
    <row r="2">
      <c r="A2" s="3"/>
      <c r="B2" s="2" t="s">
        <v>264</v>
      </c>
      <c r="C2" s="2" t="s">
        <v>265</v>
      </c>
      <c r="D2" s="2" t="s">
        <v>266</v>
      </c>
    </row>
    <row r="3">
      <c r="A3" s="3"/>
      <c r="B3" s="2" t="s">
        <v>267</v>
      </c>
      <c r="C3" s="2" t="s">
        <v>268</v>
      </c>
      <c r="D3" s="2" t="s">
        <v>269</v>
      </c>
    </row>
    <row r="4">
      <c r="A4" s="3"/>
      <c r="B4" s="2" t="s">
        <v>270</v>
      </c>
      <c r="C4" s="2" t="s">
        <v>271</v>
      </c>
      <c r="D4" s="2" t="s">
        <v>272</v>
      </c>
    </row>
    <row r="5">
      <c r="A5" s="3"/>
      <c r="B5" s="2" t="s">
        <v>273</v>
      </c>
      <c r="C5" s="3"/>
      <c r="D5" s="3"/>
    </row>
    <row r="6">
      <c r="A6" s="3"/>
      <c r="B6" s="2" t="s">
        <v>274</v>
      </c>
      <c r="C6" s="3"/>
      <c r="D6" s="3"/>
    </row>
    <row r="7">
      <c r="A7" s="3"/>
      <c r="B7" s="2" t="s">
        <v>275</v>
      </c>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276</v>
      </c>
      <c r="B1" s="4" t="s">
        <v>277</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55.38"/>
  </cols>
  <sheetData>
    <row r="1">
      <c r="A1" s="34" t="s">
        <v>65</v>
      </c>
      <c r="B1" s="34" t="s">
        <v>278</v>
      </c>
      <c r="C1" s="34" t="s">
        <v>279</v>
      </c>
      <c r="D1" s="34" t="s">
        <v>280</v>
      </c>
      <c r="E1" s="34" t="s">
        <v>281</v>
      </c>
    </row>
    <row r="2">
      <c r="A2" s="34">
        <v>1.0</v>
      </c>
      <c r="B2" s="34" t="s">
        <v>282</v>
      </c>
      <c r="C2" s="34" t="s">
        <v>283</v>
      </c>
      <c r="D2" s="34" t="s">
        <v>284</v>
      </c>
      <c r="E2" s="34" t="s">
        <v>285</v>
      </c>
    </row>
    <row r="3">
      <c r="A3" s="34">
        <v>2.0</v>
      </c>
      <c r="B3" s="34" t="s">
        <v>282</v>
      </c>
      <c r="C3" s="34" t="s">
        <v>286</v>
      </c>
      <c r="D3" s="34" t="s">
        <v>284</v>
      </c>
      <c r="E3" s="34" t="s">
        <v>285</v>
      </c>
    </row>
    <row r="4">
      <c r="A4" s="34">
        <v>3.0</v>
      </c>
      <c r="B4" s="34" t="s">
        <v>287</v>
      </c>
      <c r="C4" s="34" t="s">
        <v>288</v>
      </c>
      <c r="D4" s="34" t="s">
        <v>289</v>
      </c>
      <c r="E4" s="34" t="s">
        <v>290</v>
      </c>
    </row>
    <row r="5">
      <c r="A5" s="34">
        <v>4.0</v>
      </c>
      <c r="B5" s="34" t="s">
        <v>287</v>
      </c>
      <c r="C5" s="34" t="s">
        <v>291</v>
      </c>
      <c r="D5" s="34" t="s">
        <v>292</v>
      </c>
      <c r="E5" s="34" t="s">
        <v>290</v>
      </c>
    </row>
    <row r="6">
      <c r="A6" s="34">
        <v>5.0</v>
      </c>
      <c r="B6" s="34" t="s">
        <v>287</v>
      </c>
      <c r="C6" s="34" t="s">
        <v>293</v>
      </c>
      <c r="D6" s="34" t="s">
        <v>294</v>
      </c>
      <c r="E6" s="34" t="s">
        <v>290</v>
      </c>
    </row>
    <row r="7">
      <c r="A7" s="34">
        <v>6.0</v>
      </c>
      <c r="B7" s="34" t="s">
        <v>287</v>
      </c>
      <c r="C7" s="34" t="s">
        <v>295</v>
      </c>
      <c r="D7" s="34" t="s">
        <v>296</v>
      </c>
      <c r="E7" s="34" t="s">
        <v>285</v>
      </c>
    </row>
    <row r="8">
      <c r="A8" s="34">
        <v>7.0</v>
      </c>
      <c r="B8" s="34" t="s">
        <v>287</v>
      </c>
      <c r="C8" s="34" t="s">
        <v>297</v>
      </c>
      <c r="D8" s="34" t="s">
        <v>298</v>
      </c>
      <c r="E8" s="34" t="s">
        <v>299</v>
      </c>
    </row>
    <row r="9">
      <c r="A9" s="34">
        <v>8.0</v>
      </c>
      <c r="B9" s="34" t="s">
        <v>287</v>
      </c>
      <c r="C9" s="34" t="s">
        <v>300</v>
      </c>
      <c r="D9" s="34" t="s">
        <v>301</v>
      </c>
      <c r="E9" s="34" t="s">
        <v>290</v>
      </c>
    </row>
    <row r="10">
      <c r="A10" s="34">
        <v>9.0</v>
      </c>
      <c r="B10" s="34" t="s">
        <v>287</v>
      </c>
      <c r="C10" s="34" t="s">
        <v>302</v>
      </c>
      <c r="D10" s="34" t="s">
        <v>303</v>
      </c>
      <c r="E10" s="34" t="s">
        <v>304</v>
      </c>
    </row>
    <row r="11">
      <c r="A11" s="34">
        <v>10.0</v>
      </c>
      <c r="B11" s="34" t="s">
        <v>287</v>
      </c>
      <c r="C11" s="34" t="s">
        <v>302</v>
      </c>
      <c r="D11" s="34" t="s">
        <v>303</v>
      </c>
      <c r="E11" s="34" t="s">
        <v>304</v>
      </c>
    </row>
    <row r="12">
      <c r="A12" s="34">
        <v>11.0</v>
      </c>
      <c r="B12" s="34" t="s">
        <v>287</v>
      </c>
      <c r="C12" s="34" t="s">
        <v>305</v>
      </c>
      <c r="D12" s="34" t="s">
        <v>306</v>
      </c>
      <c r="E12" s="34" t="s">
        <v>304</v>
      </c>
    </row>
    <row r="13">
      <c r="A13" s="34">
        <v>12.0</v>
      </c>
      <c r="B13" s="34" t="s">
        <v>287</v>
      </c>
      <c r="C13" s="34" t="s">
        <v>307</v>
      </c>
      <c r="D13" s="34" t="s">
        <v>308</v>
      </c>
      <c r="E13" s="34" t="s">
        <v>309</v>
      </c>
    </row>
    <row r="14">
      <c r="A14" s="34">
        <v>13.0</v>
      </c>
      <c r="B14" s="34" t="s">
        <v>287</v>
      </c>
      <c r="C14" s="34" t="s">
        <v>310</v>
      </c>
      <c r="D14" s="34" t="s">
        <v>311</v>
      </c>
      <c r="E14" s="34" t="s">
        <v>312</v>
      </c>
    </row>
    <row r="15">
      <c r="A15" s="34">
        <v>14.0</v>
      </c>
      <c r="B15" s="34" t="s">
        <v>287</v>
      </c>
      <c r="C15" s="34" t="s">
        <v>313</v>
      </c>
      <c r="D15" s="34" t="s">
        <v>311</v>
      </c>
      <c r="E15" s="34" t="s">
        <v>312</v>
      </c>
    </row>
    <row r="16">
      <c r="A16" s="34">
        <v>15.0</v>
      </c>
      <c r="B16" s="34" t="s">
        <v>287</v>
      </c>
      <c r="C16" s="34" t="s">
        <v>314</v>
      </c>
      <c r="D16" s="34">
        <v>0.48</v>
      </c>
      <c r="E16" s="34" t="s">
        <v>312</v>
      </c>
    </row>
    <row r="17">
      <c r="A17" s="34">
        <v>16.0</v>
      </c>
      <c r="B17" s="34" t="s">
        <v>287</v>
      </c>
      <c r="C17" s="34" t="s">
        <v>315</v>
      </c>
      <c r="D17" s="34" t="s">
        <v>316</v>
      </c>
      <c r="E17" s="34" t="s">
        <v>317</v>
      </c>
    </row>
    <row r="18">
      <c r="A18" s="34">
        <v>17.0</v>
      </c>
      <c r="B18" s="34" t="s">
        <v>287</v>
      </c>
      <c r="C18" s="34" t="s">
        <v>318</v>
      </c>
      <c r="D18" s="34" t="s">
        <v>319</v>
      </c>
      <c r="E18" s="34" t="s">
        <v>304</v>
      </c>
    </row>
    <row r="19">
      <c r="A19" s="34">
        <v>18.0</v>
      </c>
      <c r="B19" s="34" t="s">
        <v>287</v>
      </c>
      <c r="C19" s="34" t="s">
        <v>320</v>
      </c>
      <c r="D19" s="34" t="s">
        <v>321</v>
      </c>
      <c r="E19" s="34" t="s">
        <v>312</v>
      </c>
    </row>
    <row r="20">
      <c r="A20" s="34">
        <v>19.0</v>
      </c>
      <c r="B20" s="34" t="s">
        <v>287</v>
      </c>
      <c r="C20" s="34" t="s">
        <v>322</v>
      </c>
      <c r="D20" s="34" t="s">
        <v>323</v>
      </c>
      <c r="E20" s="34" t="s">
        <v>324</v>
      </c>
    </row>
    <row r="21">
      <c r="A21" s="34">
        <v>20.0</v>
      </c>
      <c r="B21" s="34" t="s">
        <v>287</v>
      </c>
      <c r="C21" s="34" t="s">
        <v>325</v>
      </c>
      <c r="D21" s="34" t="s">
        <v>326</v>
      </c>
      <c r="E21" s="34" t="s">
        <v>327</v>
      </c>
    </row>
    <row r="22">
      <c r="A22" s="34">
        <v>21.0</v>
      </c>
      <c r="B22" s="34" t="s">
        <v>287</v>
      </c>
      <c r="C22" s="34" t="s">
        <v>328</v>
      </c>
      <c r="D22" s="34" t="s">
        <v>329</v>
      </c>
      <c r="E22" s="34" t="s">
        <v>290</v>
      </c>
    </row>
    <row r="23">
      <c r="A23" s="34">
        <v>22.0</v>
      </c>
      <c r="B23" s="34" t="s">
        <v>287</v>
      </c>
      <c r="C23" s="34" t="s">
        <v>330</v>
      </c>
      <c r="D23" s="34" t="s">
        <v>331</v>
      </c>
      <c r="E23" s="34" t="s">
        <v>290</v>
      </c>
    </row>
    <row r="24">
      <c r="A24" s="34">
        <v>23.0</v>
      </c>
      <c r="B24" s="34" t="s">
        <v>282</v>
      </c>
      <c r="C24" s="34" t="s">
        <v>332</v>
      </c>
      <c r="D24" s="34" t="s">
        <v>333</v>
      </c>
      <c r="E24" s="34" t="s">
        <v>285</v>
      </c>
    </row>
    <row r="25">
      <c r="A25" s="34">
        <v>24.0</v>
      </c>
      <c r="B25" s="34" t="s">
        <v>282</v>
      </c>
      <c r="C25" s="34" t="s">
        <v>334</v>
      </c>
      <c r="D25" s="34" t="s">
        <v>284</v>
      </c>
      <c r="E25" s="34" t="s">
        <v>285</v>
      </c>
    </row>
    <row r="26">
      <c r="A26" s="34">
        <v>25.0</v>
      </c>
      <c r="B26" s="34" t="s">
        <v>282</v>
      </c>
      <c r="C26" s="34" t="s">
        <v>335</v>
      </c>
      <c r="D26" s="34" t="s">
        <v>336</v>
      </c>
      <c r="E26" s="34" t="s">
        <v>285</v>
      </c>
    </row>
    <row r="27">
      <c r="A27" s="34">
        <v>26.0</v>
      </c>
      <c r="B27" s="34" t="s">
        <v>282</v>
      </c>
      <c r="C27" s="34" t="s">
        <v>337</v>
      </c>
      <c r="D27" s="34" t="s">
        <v>336</v>
      </c>
      <c r="E27" s="34" t="s">
        <v>338</v>
      </c>
    </row>
    <row r="28">
      <c r="A28" s="34">
        <v>27.0</v>
      </c>
      <c r="B28" s="34" t="s">
        <v>282</v>
      </c>
      <c r="C28" s="34" t="s">
        <v>339</v>
      </c>
      <c r="D28" s="34" t="s">
        <v>340</v>
      </c>
      <c r="E28" s="34" t="s">
        <v>285</v>
      </c>
    </row>
    <row r="29">
      <c r="A29" s="34">
        <v>28.0</v>
      </c>
      <c r="B29" s="34" t="s">
        <v>282</v>
      </c>
      <c r="C29" s="34" t="s">
        <v>341</v>
      </c>
      <c r="D29" s="34" t="s">
        <v>342</v>
      </c>
      <c r="E29" s="34" t="s">
        <v>285</v>
      </c>
    </row>
    <row r="30">
      <c r="A30" s="34">
        <v>29.0</v>
      </c>
      <c r="B30" s="34" t="s">
        <v>282</v>
      </c>
      <c r="C30" s="34" t="s">
        <v>343</v>
      </c>
      <c r="D30" s="34" t="s">
        <v>344</v>
      </c>
      <c r="E30" s="34" t="s">
        <v>285</v>
      </c>
    </row>
    <row r="31">
      <c r="A31" s="34">
        <v>30.0</v>
      </c>
      <c r="B31" s="34" t="s">
        <v>345</v>
      </c>
      <c r="C31" s="34" t="s">
        <v>346</v>
      </c>
      <c r="D31" s="34" t="s">
        <v>347</v>
      </c>
      <c r="E31" s="34" t="s">
        <v>285</v>
      </c>
    </row>
    <row r="32">
      <c r="A32" s="34">
        <v>31.0</v>
      </c>
      <c r="B32" s="34" t="s">
        <v>345</v>
      </c>
      <c r="C32" s="34" t="s">
        <v>348</v>
      </c>
      <c r="D32" s="34" t="s">
        <v>349</v>
      </c>
      <c r="E32" s="34" t="s">
        <v>350</v>
      </c>
    </row>
    <row r="33">
      <c r="A33" s="34">
        <v>32.0</v>
      </c>
      <c r="B33" s="34" t="s">
        <v>345</v>
      </c>
      <c r="C33" s="34" t="s">
        <v>351</v>
      </c>
      <c r="D33" s="34" t="s">
        <v>352</v>
      </c>
      <c r="E33" s="34" t="s">
        <v>285</v>
      </c>
    </row>
    <row r="34">
      <c r="A34" s="34">
        <v>33.0</v>
      </c>
      <c r="B34" s="34" t="s">
        <v>345</v>
      </c>
      <c r="C34" s="34" t="s">
        <v>353</v>
      </c>
      <c r="D34" s="34" t="s">
        <v>354</v>
      </c>
      <c r="E34" s="34" t="s">
        <v>285</v>
      </c>
    </row>
    <row r="35">
      <c r="A35" s="34">
        <v>34.0</v>
      </c>
      <c r="B35" s="34" t="s">
        <v>282</v>
      </c>
      <c r="C35" s="34" t="s">
        <v>355</v>
      </c>
      <c r="D35" s="34" t="s">
        <v>356</v>
      </c>
      <c r="E35" s="34" t="s">
        <v>285</v>
      </c>
    </row>
    <row r="36">
      <c r="A36" s="34">
        <v>35.0</v>
      </c>
      <c r="B36" s="34" t="s">
        <v>282</v>
      </c>
      <c r="C36" s="34" t="s">
        <v>357</v>
      </c>
      <c r="D36" s="34" t="s">
        <v>358</v>
      </c>
      <c r="E36" s="34" t="s">
        <v>285</v>
      </c>
    </row>
    <row r="37">
      <c r="A37" s="34">
        <v>36.0</v>
      </c>
      <c r="B37" s="34" t="s">
        <v>345</v>
      </c>
      <c r="C37" s="34" t="s">
        <v>359</v>
      </c>
      <c r="D37" s="34" t="s">
        <v>360</v>
      </c>
      <c r="E37" s="34" t="s">
        <v>285</v>
      </c>
    </row>
    <row r="38">
      <c r="A38" s="34">
        <v>37.0</v>
      </c>
      <c r="B38" s="34" t="s">
        <v>345</v>
      </c>
      <c r="C38" s="34" t="s">
        <v>361</v>
      </c>
      <c r="D38" s="34" t="s">
        <v>362</v>
      </c>
      <c r="E38" s="34" t="s">
        <v>350</v>
      </c>
    </row>
    <row r="39">
      <c r="A39" s="34">
        <v>38.0</v>
      </c>
      <c r="B39" s="34" t="s">
        <v>345</v>
      </c>
      <c r="C39" s="34" t="s">
        <v>363</v>
      </c>
      <c r="D39" s="34" t="s">
        <v>364</v>
      </c>
      <c r="E39" s="34" t="s">
        <v>365</v>
      </c>
    </row>
    <row r="40">
      <c r="A40" s="34">
        <v>39.0</v>
      </c>
      <c r="B40" s="34" t="s">
        <v>345</v>
      </c>
      <c r="C40" s="34" t="s">
        <v>366</v>
      </c>
      <c r="D40" s="34" t="s">
        <v>367</v>
      </c>
      <c r="E40" s="34" t="s">
        <v>285</v>
      </c>
    </row>
    <row r="41">
      <c r="A41" s="34">
        <v>40.0</v>
      </c>
      <c r="B41" s="34" t="s">
        <v>282</v>
      </c>
      <c r="C41" s="34" t="s">
        <v>368</v>
      </c>
      <c r="D41" s="34" t="s">
        <v>369</v>
      </c>
      <c r="E41" s="34" t="s">
        <v>285</v>
      </c>
    </row>
    <row r="42">
      <c r="A42" s="34">
        <v>41.0</v>
      </c>
      <c r="B42" s="34" t="s">
        <v>282</v>
      </c>
      <c r="C42" s="34" t="s">
        <v>370</v>
      </c>
      <c r="D42" s="34" t="s">
        <v>371</v>
      </c>
      <c r="E42" s="34" t="s">
        <v>312</v>
      </c>
    </row>
    <row r="43">
      <c r="A43" s="34">
        <v>42.0</v>
      </c>
      <c r="B43" s="34" t="s">
        <v>282</v>
      </c>
      <c r="C43" s="34" t="s">
        <v>372</v>
      </c>
      <c r="D43" s="34" t="s">
        <v>373</v>
      </c>
      <c r="E43" s="34" t="s">
        <v>285</v>
      </c>
    </row>
    <row r="44">
      <c r="A44" s="34">
        <v>43.0</v>
      </c>
      <c r="B44" s="34" t="s">
        <v>282</v>
      </c>
      <c r="C44" s="34" t="s">
        <v>374</v>
      </c>
      <c r="D44" s="34" t="s">
        <v>375</v>
      </c>
      <c r="E44" s="34" t="s">
        <v>285</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3" t="str">
        <f>'Project Team'!A1</f>
        <v>Last Name</v>
      </c>
      <c r="B1" s="83" t="str">
        <f>'Project Team'!B1</f>
        <v>First Name</v>
      </c>
      <c r="C1" s="84" t="s">
        <v>376</v>
      </c>
      <c r="D1" s="85"/>
      <c r="E1" s="86"/>
      <c r="F1" s="87"/>
      <c r="G1" s="88"/>
      <c r="H1" s="88"/>
    </row>
    <row r="2">
      <c r="C2" s="89"/>
      <c r="D2" s="90"/>
      <c r="E2" s="91" t="str">
        <f>AVERAGE(C2:C8)</f>
        <v>#DIV/0!</v>
      </c>
      <c r="F2" s="92" t="str">
        <f>if(stdev(C2:C5) &gt; 0,"NOK", "OK")</f>
        <v>#DIV/0!</v>
      </c>
      <c r="G2" s="93"/>
      <c r="H2" s="93"/>
    </row>
    <row r="3">
      <c r="A3" s="94" t="str">
        <f>'Project Team'!A3</f>
        <v>Samdani</v>
      </c>
      <c r="B3" s="94" t="str">
        <f>'Project Team'!B3</f>
        <v>Sarib</v>
      </c>
      <c r="C3" s="95"/>
      <c r="D3" s="96"/>
      <c r="G3" s="97"/>
      <c r="H3" s="97"/>
    </row>
    <row r="4">
      <c r="A4" s="98" t="str">
        <f>'Project Team'!A4</f>
        <v>Chinbat</v>
      </c>
      <c r="B4" s="98" t="str">
        <f>'Project Team'!B4</f>
        <v>Anuun</v>
      </c>
      <c r="C4" s="95"/>
      <c r="D4" s="90"/>
      <c r="G4" s="93"/>
      <c r="H4" s="93"/>
    </row>
    <row r="5">
      <c r="A5" s="94" t="str">
        <f>'Project Team'!A7</f>
        <v>Badura</v>
      </c>
      <c r="B5" s="94" t="str">
        <f>'Project Team'!B7</f>
        <v>Emil</v>
      </c>
      <c r="C5" s="99"/>
      <c r="D5" s="100"/>
      <c r="E5" s="100"/>
      <c r="F5" s="100"/>
      <c r="G5" s="97"/>
      <c r="H5" s="97"/>
    </row>
    <row r="6">
      <c r="A6" s="98" t="str">
        <f>'Project Team'!A8</f>
        <v>Assenbaum</v>
      </c>
      <c r="B6" s="98" t="str">
        <f>'Project Team'!B8</f>
        <v>Paul</v>
      </c>
      <c r="C6" s="99"/>
      <c r="D6" s="101"/>
      <c r="E6" s="102">
        <v>0.0</v>
      </c>
      <c r="F6" s="103" t="s">
        <v>377</v>
      </c>
      <c r="G6" s="93"/>
      <c r="H6" s="93"/>
    </row>
    <row r="7">
      <c r="A7" s="94" t="str">
        <f>'Project Team'!A9</f>
        <v>Mantsch</v>
      </c>
      <c r="B7" s="94" t="str">
        <f>'Project Team'!B9</f>
        <v>Christoph</v>
      </c>
      <c r="C7" s="95"/>
      <c r="D7" s="100"/>
      <c r="E7" s="102">
        <v>1.0</v>
      </c>
      <c r="F7" s="103" t="s">
        <v>378</v>
      </c>
      <c r="G7" s="97"/>
      <c r="H7" s="97"/>
    </row>
    <row r="8">
      <c r="A8" s="104" t="s">
        <v>60</v>
      </c>
      <c r="B8" s="104" t="s">
        <v>61</v>
      </c>
      <c r="C8" s="95"/>
      <c r="D8" s="101"/>
      <c r="E8" s="102">
        <v>2.0</v>
      </c>
      <c r="F8" s="103" t="s">
        <v>379</v>
      </c>
      <c r="G8" s="93"/>
      <c r="H8" s="93"/>
    </row>
    <row r="9">
      <c r="D9" s="100"/>
      <c r="E9" s="102">
        <v>3.0</v>
      </c>
      <c r="F9" s="103" t="s">
        <v>380</v>
      </c>
      <c r="G9" s="97"/>
      <c r="H9" s="97"/>
    </row>
    <row r="10">
      <c r="A10" s="98" t="str">
        <f>'Project Team'!A2</f>
        <v>Hilgers</v>
      </c>
      <c r="B10" s="98" t="str">
        <f>'Project Team'!B2</f>
        <v>Felix</v>
      </c>
      <c r="D10" s="101"/>
      <c r="E10" s="102">
        <v>5.0</v>
      </c>
      <c r="F10" s="103" t="s">
        <v>381</v>
      </c>
      <c r="G10" s="93"/>
      <c r="H10" s="93"/>
    </row>
    <row r="11">
      <c r="A11" s="94" t="str">
        <f>'Project Team'!A5</f>
        <v>Goldschmidt</v>
      </c>
      <c r="B11" s="94" t="str">
        <f>'Project Team'!B5</f>
        <v>Georgina</v>
      </c>
      <c r="C11" s="105"/>
      <c r="D11" s="100"/>
      <c r="E11" s="102">
        <v>8.0</v>
      </c>
      <c r="F11" s="103" t="s">
        <v>382</v>
      </c>
      <c r="G11" s="97"/>
      <c r="H11" s="97"/>
    </row>
    <row r="12">
      <c r="A12" s="98" t="str">
        <f>'Project Team'!A6</f>
        <v>Zinn</v>
      </c>
      <c r="B12" s="104" t="s">
        <v>45</v>
      </c>
      <c r="C12" s="106"/>
      <c r="D12" s="101"/>
      <c r="E12" s="102">
        <v>13.0</v>
      </c>
      <c r="F12" s="103" t="s">
        <v>383</v>
      </c>
      <c r="G12" s="93"/>
      <c r="H12" s="93"/>
    </row>
    <row r="13">
      <c r="C13" s="100"/>
      <c r="D13" s="100"/>
      <c r="E13" s="100"/>
      <c r="F13" s="100"/>
      <c r="G13" s="97"/>
      <c r="H13" s="97"/>
    </row>
    <row r="14">
      <c r="A14" s="107" t="s">
        <v>384</v>
      </c>
      <c r="B14" s="108"/>
      <c r="C14" s="108"/>
      <c r="D14" s="108"/>
      <c r="E14" s="108"/>
      <c r="F14" s="108"/>
      <c r="G14" s="108"/>
      <c r="H14" s="108"/>
    </row>
    <row r="15">
      <c r="A15" s="109"/>
      <c r="B15" s="109"/>
      <c r="C15" s="109"/>
      <c r="D15" s="109"/>
      <c r="E15" s="109"/>
      <c r="F15" s="109"/>
      <c r="G15" s="109"/>
      <c r="H15" s="109"/>
    </row>
    <row r="16">
      <c r="A16" s="110" t="s">
        <v>385</v>
      </c>
      <c r="B16" s="111"/>
      <c r="C16" s="111"/>
      <c r="D16" s="111"/>
      <c r="E16" s="111"/>
      <c r="F16" s="111"/>
      <c r="G16" s="111"/>
      <c r="H16" s="111"/>
    </row>
    <row r="17">
      <c r="A17" s="112" t="s">
        <v>386</v>
      </c>
      <c r="B17" s="109"/>
      <c r="C17" s="109"/>
      <c r="D17" s="109"/>
      <c r="E17" s="109"/>
      <c r="F17" s="109"/>
      <c r="G17" s="109"/>
      <c r="H17" s="109"/>
    </row>
    <row r="18">
      <c r="A18" s="110" t="s">
        <v>387</v>
      </c>
      <c r="B18" s="111"/>
      <c r="C18" s="111"/>
      <c r="D18" s="111"/>
      <c r="E18" s="111"/>
      <c r="F18" s="111"/>
      <c r="G18" s="111"/>
      <c r="H18" s="111"/>
    </row>
    <row r="19">
      <c r="A19" s="109"/>
      <c r="B19" s="109"/>
      <c r="C19" s="109"/>
      <c r="D19" s="109"/>
      <c r="E19" s="109"/>
      <c r="F19" s="109"/>
      <c r="G19" s="113" t="s">
        <v>388</v>
      </c>
      <c r="H19" s="109"/>
    </row>
    <row r="20">
      <c r="A20" s="111"/>
      <c r="B20" s="111"/>
      <c r="C20" s="111"/>
      <c r="D20" s="111"/>
      <c r="E20" s="111"/>
      <c r="F20" s="111"/>
      <c r="G20" s="111"/>
      <c r="H20" s="11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