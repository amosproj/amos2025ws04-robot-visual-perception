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Mid-Project Release plan" sheetId="9" r:id="rId11"/>
    <sheet state="visible" name="Final Project Release plan" sheetId="10" r:id="rId12"/>
    <sheet state="visible" name="Definition of Done" sheetId="11" r:id="rId13"/>
    <sheet state="visible" name="Documentation" sheetId="12" r:id="rId14"/>
    <sheet state="visible" name="Bill of Materials" sheetId="13" r:id="rId15"/>
    <sheet state="visible" name="Planning Poker" sheetId="14" r:id="rId16"/>
  </sheets>
  <definedNames/>
  <calcPr/>
</workbook>
</file>

<file path=xl/sharedStrings.xml><?xml version="1.0" encoding="utf-8"?>
<sst xmlns="http://schemas.openxmlformats.org/spreadsheetml/2006/main" count="531" uniqueCount="305">
  <si>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</si>
  <si>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</si>
  <si>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</si>
  <si>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</si>
  <si>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</si>
  <si>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</si>
  <si>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</si>
  <si>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</si>
  <si>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</si>
  <si>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</si>
  <si>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</si>
  <si>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</si>
  <si>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</si>
  <si>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</si>
  <si>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</si>
  <si>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</si>
  <si>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</si>
  <si>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</si>
  <si>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</si>
  <si>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</si>
  <si>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</si>
  <si>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</si>
  <si>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</si>
  <si>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</si>
  <si>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</si>
  <si>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</si>
  <si>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</si>
  <si>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</si>
  <si>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</si>
  <si>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</si>
  <si>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</si>
  <si>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</si>
  <si>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</si>
  <si>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</si>
  <si>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</si>
  <si>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</si>
  <si>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</si>
  <si>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</si>
  <si>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</si>
  <si>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</si>
  <si>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</si>
  <si>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</si>
  <si>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</si>
  <si>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</si>
  <si>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</si>
  <si>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</si>
  <si>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</si>
  <si>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</si>
  <si>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</si>
  <si>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</si>
  <si>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</si>
  <si>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</si>
  <si>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</si>
  <si>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</si>
  <si>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</si>
  <si>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</si>
  <si>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</si>
  <si>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</si>
  <si>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</si>
  <si>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</si>
  <si>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</si>
  <si>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</si>
  <si>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</si>
  <si>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</si>
  <si>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</si>
  <si>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</si>
  <si>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</si>
  <si>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</si>
  <si>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</si>
  <si>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</si>
  <si>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</si>
  <si>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</si>
  <si>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</si>
  <si>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</si>
  <si>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</si>
  <si>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</si>
  <si>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</si>
  <si>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</si>
  <si>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</si>
  <si>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</si>
  <si>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</si>
  <si>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</si>
  <si>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Mid-term due</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</si>
  <si>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</si>
  <si>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</si>
  <si>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</si>
  <si>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</si>
  <si>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</si>
  <si>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</si>
  <si>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</si>
  <si>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</si>
  <si>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</si>
  <si>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</si>
  <si>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</si>
  <si>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</si>
  <si>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</si>
  <si>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</si>
  <si>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</si>
  <si>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</si>
  <si>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</si>
  <si>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</si>
  <si>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</si>
  <si>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</si>
  <si>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</si>
  <si>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</si>
  <si>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</si>
  <si>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</si>
  <si>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</si>
  <si>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</si>
  <si>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The reason of existence of the envisioned product (beyond this project).</t>
  </si>
  <si>
    <t>The mission of this particular project (in the context of the product vision).</t>
  </si>
  <si>
    <t>Term</t>
  </si>
  <si>
    <t>Definition</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</si>
  <si>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</si>
  <si>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</si>
  <si>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</si>
  <si>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</si>
  <si>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</si>
  <si>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</si>
  <si>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</si>
  <si>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</si>
  <si>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</si>
  <si>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</si>
  <si>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</si>
  <si>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</si>
  <si>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</si>
  <si>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</si>
  <si>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</si>
  <si>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</si>
  <si>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</si>
  <si>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</si>
  <si>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</si>
  <si>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</si>
  <si>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</si>
  <si>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</si>
  <si>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</si>
  <si>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</si>
  <si>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</si>
  <si>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</si>
  <si>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</si>
  <si>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</si>
  <si>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</si>
  <si>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</si>
  <si>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</si>
  <si>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</si>
  <si>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</si>
  <si>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Status</t>
  </si>
  <si>
    <t>Change Info</t>
  </si>
  <si>
    <t>Frontend (React UI)</t>
  </si>
  <si>
    <t>npm:react</t>
  </si>
  <si>
    <t>18.3.1</t>
  </si>
  <si>
    <t>MIT</t>
  </si>
  <si>
    <t>UI framework</t>
  </si>
  <si>
    <t>In Use</t>
  </si>
  <si>
    <t>npm:react-dom</t>
  </si>
  <si>
    <t>DOM renderer for React</t>
  </si>
  <si>
    <t>npm:typescript</t>
  </si>
  <si>
    <t>5.6.3</t>
  </si>
  <si>
    <t>Apache-2.0</t>
  </si>
  <si>
    <t>Type system for JavaScript</t>
  </si>
  <si>
    <t>Version updated: 5.4.5 → 5.6.3</t>
  </si>
  <si>
    <t>npm:vite</t>
  </si>
  <si>
    <t>6.0.3</t>
  </si>
  <si>
    <t>Build tool and dev server</t>
  </si>
  <si>
    <t>Version updated: 5.2.0 → 6.0.3</t>
  </si>
  <si>
    <t>npm:websocket</t>
  </si>
  <si>
    <t>1.0.35</t>
  </si>
  <si>
    <t>WebSocket client for metadata</t>
  </si>
  <si>
    <t>Planned</t>
  </si>
  <si>
    <t>npm:webrtc-adapter</t>
  </si>
  <si>
    <t>9.1.2</t>
  </si>
  <si>
    <t>BSD-3-Clause</t>
  </si>
  <si>
    <t>Cross-browser WebRTC compatibility</t>
  </si>
  <si>
    <t>npm:axios</t>
  </si>
  <si>
    <t>1.7.2</t>
  </si>
  <si>
    <t>HTTP client for REST API</t>
  </si>
  <si>
    <t>npm: zustand</t>
  </si>
  <si>
    <t>4.5.3</t>
  </si>
  <si>
    <t>State management</t>
  </si>
  <si>
    <t>npm:three</t>
  </si>
  <si>
    <t>0.169.0</t>
  </si>
  <si>
    <t>for 3D-visualization</t>
  </si>
  <si>
    <t>Planned (optional)</t>
  </si>
  <si>
    <t>npm:@types/react</t>
  </si>
  <si>
    <t>18.3.12</t>
  </si>
  <si>
    <t>TypeScript definitions for React</t>
  </si>
  <si>
    <t>New component</t>
  </si>
  <si>
    <t>npm:@types/react-dom</t>
  </si>
  <si>
    <t>TypeScript definitions for React DOM</t>
  </si>
  <si>
    <t>npm:@vitejs/plugin-react</t>
  </si>
  <si>
    <t>4.3.4</t>
  </si>
  <si>
    <t>Vite plugin for React support</t>
  </si>
  <si>
    <t>npm:eslint</t>
  </si>
  <si>
    <t>9.17.0</t>
  </si>
  <si>
    <t>Code linting</t>
  </si>
  <si>
    <t>npm:prettier</t>
  </si>
  <si>
    <t>3.4.2</t>
  </si>
  <si>
    <t>Code formatting</t>
  </si>
  <si>
    <t>npm:vitest</t>
  </si>
  <si>
    <t>2.1.5</t>
  </si>
  <si>
    <t>Unit testing framework</t>
  </si>
  <si>
    <t>npm:@typescript-eslint/eslint-plugin</t>
  </si>
  <si>
    <t>8.16.0</t>
  </si>
  <si>
    <t>ESLint rules for TypeScript</t>
  </si>
  <si>
    <t>npm:@typescript-eslint/parser</t>
  </si>
  <si>
    <t>TypeScript parser for ESLint</t>
  </si>
  <si>
    <t>Backend (FastAPI API)</t>
  </si>
  <si>
    <t>pypi:uvicorn</t>
  </si>
  <si>
    <t>0.38.0</t>
  </si>
  <si>
    <t>ASGI server for FastAPI</t>
  </si>
  <si>
    <t>Version updated: 0.30.1 → 0.38.0</t>
  </si>
  <si>
    <t>pypi:fastapi</t>
  </si>
  <si>
    <t>0.115.10</t>
  </si>
  <si>
    <t>Web framework for API</t>
  </si>
  <si>
    <t>Version updated: 0.115.2 → 0.115.10</t>
  </si>
  <si>
    <t>pypi:websockets</t>
  </si>
  <si>
    <t>WebSocket server for real-time metadata</t>
  </si>
  <si>
    <t>pypi:grpcio</t>
  </si>
  <si>
    <t>1.66.1</t>
  </si>
  <si>
    <t>gRPC for AI service communication</t>
  </si>
  <si>
    <t>pypi:httpx</t>
  </si>
  <si>
    <t>0.27.0</t>
  </si>
  <si>
    <t>Async HTTP client</t>
  </si>
  <si>
    <t>pypi:pydantic</t>
  </si>
  <si>
    <t>2.12.3</t>
  </si>
  <si>
    <t>Data validation for FastAPI</t>
  </si>
  <si>
    <t>pypi:aiortc</t>
  </si>
  <si>
    <t>1.14.0</t>
  </si>
  <si>
    <t>Python WebRTC implementation</t>
  </si>
  <si>
    <t>pypi:av</t>
  </si>
  <si>
    <t>16.0.1</t>
  </si>
  <si>
    <t>BSD-2-Clause</t>
  </si>
  <si>
    <t>Audio/Video processing for aiortc</t>
  </si>
  <si>
    <t>pypi:ruff</t>
  </si>
  <si>
    <t>0.7.0</t>
  </si>
  <si>
    <t>Fast Python linter</t>
  </si>
  <si>
    <t>pypi:pytest</t>
  </si>
  <si>
    <t>8.3.3</t>
  </si>
  <si>
    <t>Testing framework</t>
  </si>
  <si>
    <t>pypi:mypy</t>
  </si>
  <si>
    <t>1.13.0</t>
  </si>
  <si>
    <t>Static type checker</t>
  </si>
  <si>
    <t>WebRTC Signaling</t>
  </si>
  <si>
    <t>go:pion/webrtc</t>
  </si>
  <si>
    <t>3.2.35</t>
  </si>
  <si>
    <t>Go WebRTC library for signaling service</t>
  </si>
  <si>
    <t>go:gorilla/websocket</t>
  </si>
  <si>
    <t>1.5.2</t>
  </si>
  <si>
    <t>WebSocket library for Go</t>
  </si>
  <si>
    <t>Image Analysis (Python)</t>
  </si>
  <si>
    <t>pypi:opencv-python</t>
  </si>
  <si>
    <t>4.9.0.80</t>
  </si>
  <si>
    <t>Computer vision library</t>
  </si>
  <si>
    <t>Version updated: 4.10.0.84 → 4.12.0.88</t>
  </si>
  <si>
    <t>pypi:numpy</t>
  </si>
  <si>
    <t>1.26.4</t>
  </si>
  <si>
    <t>Numerical operations</t>
  </si>
  <si>
    <t>Version updated: 2.1.1 → 2.2.6</t>
  </si>
  <si>
    <t>pypi:torch</t>
  </si>
  <si>
    <t>2.3.1</t>
  </si>
  <si>
    <t>PyTorch ML framework</t>
  </si>
  <si>
    <t>pypi:torchvision</t>
  </si>
  <si>
    <t>0.18.1</t>
  </si>
  <si>
    <t>Computer vision models for PyTorch</t>
  </si>
  <si>
    <t>pypi:midas</t>
  </si>
  <si>
    <t>for depth recognition</t>
  </si>
  <si>
    <t>pypi:ultralytics</t>
  </si>
  <si>
    <t>8.2.14</t>
  </si>
  <si>
    <t>APGL-3.0</t>
  </si>
  <si>
    <t>for computer vision</t>
  </si>
  <si>
    <t>Infrastructure/Deployment</t>
  </si>
  <si>
    <t>docker:python</t>
  </si>
  <si>
    <t>3.11-slim</t>
  </si>
  <si>
    <t>PSF</t>
  </si>
  <si>
    <t>Base container for Python services</t>
  </si>
  <si>
    <t>docker:golang</t>
  </si>
  <si>
    <t>20-alpine</t>
  </si>
  <si>
    <t>Base container for Go service</t>
  </si>
  <si>
    <t>docker:nvidia/cuda</t>
  </si>
  <si>
    <t>12.4.1-base</t>
  </si>
  <si>
    <t>NVIDIA Software License</t>
  </si>
  <si>
    <t>GPU acceleration for AI inference</t>
  </si>
  <si>
    <t>helm:kubernetes</t>
  </si>
  <si>
    <t>Container orchestration</t>
  </si>
  <si>
    <t>prometheus/prometheus</t>
  </si>
  <si>
    <t>2.54.0</t>
  </si>
  <si>
    <t>Monitoring and metrics</t>
  </si>
  <si>
    <t>grafana/grafana</t>
  </si>
  <si>
    <t>11.1.0</t>
  </si>
  <si>
    <t>AGPL-3.0</t>
  </si>
  <si>
    <t>Visualization dashboards</t>
  </si>
  <si>
    <t xml:space="preserve"> </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</si>
  <si>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</si>
  <si>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</si>
  <si>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</si>
  <si>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</si>
  <si>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</si>
  <si>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</si>
  <si>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</si>
  <si>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</si>
  <si>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</si>
  <si>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</si>
  <si>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</si>
  <si>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</si>
  <si>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no cap yet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</si>
</sst>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u/>
      <color rgb="FF0000FF"/>
    </font>
    <font>
      <b/>
      <name val="Arial"/>
    </font>
    <font>
      <name val="Arial"/>
    </font>
    <font>
      <color rgb="FFFFFFFF"/>
      <name val="Arial"/>
    </font>
    <font>
      <b/>
      <sz val="11.0"/>
      <color rgb="FFFFFFFF"/>
      <name val="Calibri"/>
    </font>
    <font>
      <sz val="11.0"/>
      <color rgb="FF000000"/>
      <name val="Calibri"/>
    </font>
    <font>
      <b/>
      <sz val="24.0"/>
      <name val="Arial"/>
    </font>
  </fonts>
  <fills count="12">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4472C4"/>
        <bgColor rgb="FF4472C4"/>
      </patternFill>
    </fill>
    <fill>
      <patternFill patternType="solid">
        <fgColor rgb="FFD4EDDA"/>
        <bgColor rgb="FFD4EDDA"/>
      </patternFill>
    </fill>
    <fill>
      <patternFill patternType="solid">
        <fgColor rgb="FFFFF3CD"/>
        <bgColor rgb="FFFFF3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6"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7" numFmtId="0" xfId="0" applyAlignment="1" applyFill="1" applyFont="1">
      <alignment shrinkToFit="0" vertical="bottom" wrapText="1"/>
    </xf>
    <xf borderId="0" fillId="3"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3" fontId="7" numFmtId="0" xfId="0" applyAlignment="1" applyFont="1">
      <alignment readingOrder="0" shrinkToFit="0" vertical="bottom" wrapText="1"/>
    </xf>
    <xf borderId="0" fillId="3" fontId="8" numFmtId="0" xfId="0" applyAlignment="1" applyFont="1">
      <alignment shrinkToFit="0" vertical="bottom" wrapText="1"/>
    </xf>
    <xf borderId="0" fillId="3" fontId="7"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0"/>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3" fontId="8" numFmtId="0" xfId="0" applyAlignment="1" applyFont="1">
      <alignment horizontal="left" shrinkToFit="0" vertical="bottom" wrapText="1"/>
    </xf>
    <xf borderId="0" fillId="3" fontId="8" numFmtId="0" xfId="0" applyAlignment="1" applyFont="1">
      <alignment shrinkToFit="0" vertical="bottom" wrapText="0"/>
    </xf>
    <xf borderId="0" fillId="6" fontId="7" numFmtId="0" xfId="0" applyAlignment="1" applyFill="1" applyFont="1">
      <alignment horizontal="left" shrinkToFit="0" vertical="bottom" wrapText="0"/>
    </xf>
    <xf borderId="0" fillId="6" fontId="8" numFmtId="0" xfId="0" applyAlignment="1" applyFont="1">
      <alignment shrinkToFit="0" vertical="bottom" wrapText="0"/>
    </xf>
    <xf borderId="0" fillId="6"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0"/>
    </xf>
    <xf borderId="0" fillId="7" fontId="8" numFmtId="0" xfId="0" applyAlignment="1" applyFont="1">
      <alignment shrinkToFit="0" vertical="bottom" wrapText="1"/>
    </xf>
    <xf borderId="0" fillId="3" fontId="9" numFmtId="0" xfId="0" applyAlignment="1" applyFont="1">
      <alignment horizontal="center" shrinkToFit="0" vertical="bottom" wrapText="0"/>
    </xf>
    <xf borderId="0" fillId="4" fontId="8" numFmtId="0" xfId="0" applyAlignment="1" applyFont="1">
      <alignment horizontal="left" shrinkToFit="0" vertical="bottom" wrapText="1"/>
    </xf>
    <xf borderId="0" fillId="3" fontId="8" numFmtId="0" xfId="0" applyAlignment="1" applyFont="1">
      <alignment horizontal="right" shrinkToFit="0" vertical="bottom" wrapText="0"/>
    </xf>
    <xf borderId="0" fillId="3" fontId="8" numFmtId="0" xfId="0" applyAlignment="1" applyFont="1">
      <alignment horizontal="left" readingOrder="0" shrinkToFit="0" vertical="bottom" wrapText="1"/>
    </xf>
    <xf borderId="0" fillId="3" fontId="8" numFmtId="0" xfId="0" applyAlignment="1" applyFont="1">
      <alignment shrinkToFit="0" vertical="bottom" wrapText="0"/>
    </xf>
    <xf borderId="0" fillId="8" fontId="7" numFmtId="0" xfId="0" applyAlignment="1" applyFill="1" applyFont="1">
      <alignment horizontal="left" shrinkToFit="0" vertical="bottom" wrapText="0"/>
    </xf>
    <xf borderId="0" fillId="8" fontId="7" numFmtId="0" xfId="0" applyAlignment="1" applyFont="1">
      <alignment shrinkToFit="0" vertical="bottom" wrapText="0"/>
    </xf>
    <xf borderId="0" fillId="8" fontId="8" numFmtId="0" xfId="0" applyAlignment="1" applyFont="1">
      <alignment shrinkToFit="0" vertical="bottom" wrapText="1"/>
    </xf>
    <xf borderId="0" fillId="3" fontId="7" numFmtId="0" xfId="0" applyAlignment="1" applyFont="1">
      <alignment horizontal="left" shrinkToFit="0" vertical="bottom" wrapText="0"/>
    </xf>
    <xf borderId="0" fillId="3" fontId="7" numFmtId="0" xfId="0" applyAlignment="1" applyFont="1">
      <alignment shrinkToFit="0" vertical="bottom" wrapText="0"/>
    </xf>
    <xf borderId="0" fillId="4" fontId="8" numFmtId="0" xfId="0" applyAlignment="1" applyFont="1">
      <alignment shrinkToFit="0" vertical="bottom" wrapText="0"/>
    </xf>
    <xf borderId="0" fillId="3" fontId="8" numFmtId="0" xfId="0" applyAlignment="1" applyFont="1">
      <alignment horizontal="right" shrinkToFit="0" vertical="bottom" wrapText="0"/>
    </xf>
    <xf borderId="0" fillId="3" fontId="8" numFmtId="0" xfId="0" applyAlignment="1" applyFont="1">
      <alignment horizontal="left" shrinkToFit="0" vertical="bottom" wrapText="1"/>
    </xf>
    <xf borderId="0" fillId="5" fontId="1" numFmtId="0" xfId="0" applyAlignment="1" applyFont="1">
      <alignment readingOrder="0" shrinkToFit="0" wrapText="0"/>
    </xf>
    <xf borderId="0" fillId="2" fontId="7" numFmtId="0" xfId="0" applyAlignment="1" applyFont="1">
      <alignment shrinkToFit="0" vertical="bottom" wrapText="1"/>
    </xf>
    <xf borderId="0" fillId="7" fontId="7" numFmtId="0" xfId="0" applyAlignment="1" applyFont="1">
      <alignment shrinkToFit="0" vertical="bottom" wrapText="0"/>
    </xf>
    <xf borderId="0" fillId="3" fontId="8" numFmtId="0" xfId="0" applyAlignment="1" applyFont="1">
      <alignment shrinkToFit="0" vertical="bottom" wrapText="1"/>
    </xf>
    <xf borderId="0" fillId="2" fontId="7" numFmtId="0" xfId="0" applyAlignment="1" applyFont="1">
      <alignment shrinkToFit="0" vertical="bottom" wrapText="1"/>
    </xf>
    <xf borderId="0" fillId="2" fontId="7" numFmtId="0" xfId="0" applyAlignment="1" applyFont="1">
      <alignment readingOrder="0" shrinkToFit="0" vertical="bottom" wrapText="0"/>
    </xf>
    <xf borderId="1" fillId="9" fontId="10" numFmtId="0" xfId="0" applyAlignment="1" applyBorder="1" applyFill="1" applyFont="1">
      <alignment horizontal="center" readingOrder="0" shrinkToFit="0" wrapText="0"/>
    </xf>
    <xf borderId="1" fillId="10" fontId="11" numFmtId="0" xfId="0" applyAlignment="1" applyBorder="1" applyFill="1" applyFont="1">
      <alignment horizontal="left" readingOrder="0" shrinkToFit="0" wrapText="1"/>
    </xf>
    <xf borderId="1" fillId="10" fontId="11" numFmtId="0" xfId="0" applyAlignment="1" applyBorder="1" applyFont="1">
      <alignment horizontal="left" shrinkToFit="0" wrapText="1"/>
    </xf>
    <xf borderId="1" fillId="11" fontId="11" numFmtId="0" xfId="0" applyAlignment="1" applyBorder="1" applyFill="1" applyFont="1">
      <alignment horizontal="left" readingOrder="0" shrinkToFit="0" wrapText="1"/>
    </xf>
    <xf borderId="1" fillId="11" fontId="11" numFmtId="0" xfId="0" applyAlignment="1" applyBorder="1" applyFont="1">
      <alignment horizontal="left" shrinkToFit="0" wrapText="1"/>
    </xf>
    <xf borderId="1" fillId="11" fontId="11" numFmtId="0" xfId="0" applyAlignment="1" applyBorder="1" applyFont="1">
      <alignment horizontal="left" shrinkToFit="0" wrapText="1"/>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8" numFmtId="4" xfId="0" applyAlignment="1" applyFont="1" applyNumberFormat="1">
      <alignment shrinkToFit="0" vertical="center" wrapText="1"/>
    </xf>
    <xf borderId="0" fillId="2" fontId="8"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shrinkToFit="0" vertical="center" wrapText="1"/>
    </xf>
    <xf borderId="0" fillId="5" fontId="8" numFmtId="0" xfId="0" applyAlignment="1" applyFont="1">
      <alignment horizontal="center" readingOrder="0" shrinkToFit="0" vertical="center" wrapText="1"/>
    </xf>
    <xf borderId="0" fillId="3" fontId="8" numFmtId="4" xfId="0" applyAlignment="1" applyFont="1" applyNumberFormat="1">
      <alignment shrinkToFit="0" vertical="center" wrapText="1"/>
    </xf>
    <xf borderId="0" fillId="8" fontId="12" numFmtId="4" xfId="0" applyAlignment="1" applyFont="1" applyNumberFormat="1">
      <alignment horizontal="center" shrinkToFit="0" vertical="center" wrapText="1"/>
    </xf>
    <xf borderId="0" fillId="8" fontId="12" numFmtId="0" xfId="0" applyAlignment="1" applyFont="1">
      <alignment horizontal="center" shrinkToFit="0" vertical="center" wrapText="1"/>
    </xf>
    <xf borderId="0" fillId="3"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3" fontId="8" numFmtId="0" xfId="0" applyAlignment="1" applyFont="1">
      <alignment shrinkToFit="0" vertical="center" wrapText="1"/>
    </xf>
    <xf borderId="0" fillId="7" fontId="8" numFmtId="0" xfId="0" applyAlignment="1" applyFont="1">
      <alignment horizontal="center" shrinkToFit="0" vertical="center" wrapText="1"/>
    </xf>
    <xf borderId="0" fillId="7" fontId="8" numFmtId="0" xfId="0" applyAlignment="1" applyFont="1">
      <alignment readingOrder="0" shrinkToFit="0" vertical="center" wrapText="1"/>
    </xf>
    <xf borderId="0" fillId="4" fontId="7" numFmtId="0" xfId="0" applyAlignment="1" applyFont="1">
      <alignment readingOrder="0" shrinkToFit="0" vertical="center" wrapText="1"/>
    </xf>
    <xf borderId="0" fillId="5" fontId="2" numFmtId="0" xfId="0" applyAlignment="1" applyFont="1">
      <alignment shrinkToFit="0" wrapText="1"/>
    </xf>
    <xf borderId="0" fillId="3" fontId="8"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H45" displayName="Table_12" name="Table_12" id="12">
  <tableColumns count="8">
    <tableColumn name="#" id="1"/>
    <tableColumn name="Context" id="2"/>
    <tableColumn name="Name" id="3"/>
    <tableColumn name="Version" id="4"/>
    <tableColumn name="License" id="5"/>
    <tableColumn name="Comment" id="6"/>
    <tableColumn name="Status" id="7"/>
    <tableColumn name="Change Info" id="8"/>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6" t="s">
        <v>9</v>
      </c>
    </row>
    <row r="9">
      <c r="A9" s="4" t="s">
        <v>10</v>
      </c>
      <c r="B9" s="6" t="s">
        <v>11</v>
      </c>
    </row>
    <row r="10">
      <c r="A10" s="4" t="s">
        <v>12</v>
      </c>
      <c r="B10" s="6" t="s">
        <v>13</v>
      </c>
    </row>
    <row r="11">
      <c r="A11" s="1"/>
      <c r="B11" s="3"/>
    </row>
    <row r="12">
      <c r="A12" s="4" t="s">
        <v>14</v>
      </c>
      <c r="B12" s="6" t="s">
        <v>15</v>
      </c>
    </row>
    <row r="13">
      <c r="A13" s="4" t="s">
        <v>16</v>
      </c>
      <c r="B13" s="6" t="s">
        <v>17</v>
      </c>
    </row>
    <row r="14">
      <c r="A14" s="1"/>
      <c r="B14" s="3"/>
    </row>
    <row r="15">
      <c r="A15" s="1" t="s">
        <v>18</v>
      </c>
      <c r="B15" s="6" t="s">
        <v>19</v>
      </c>
    </row>
    <row r="16">
      <c r="A16" s="1"/>
      <c r="B16" s="3"/>
    </row>
    <row r="17">
      <c r="A17" s="4" t="s">
        <v>20</v>
      </c>
      <c r="B17" s="2" t="s">
        <v>21</v>
      </c>
    </row>
    <row r="18">
      <c r="A18" s="1"/>
      <c r="B18" s="3"/>
    </row>
    <row r="19">
      <c r="A19" s="1"/>
      <c r="B19" s="7"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24</v>
      </c>
      <c r="B1" s="8" t="s">
        <v>25</v>
      </c>
      <c r="C1" s="8" t="s">
        <v>26</v>
      </c>
      <c r="D1" s="8" t="s">
        <v>27</v>
      </c>
    </row>
    <row r="2">
      <c r="A2" s="9" t="s">
        <v>28</v>
      </c>
      <c r="B2" s="9" t="s">
        <v>29</v>
      </c>
      <c r="C2" s="9" t="s">
        <v>30</v>
      </c>
      <c r="D2" s="9" t="s">
        <v>31</v>
      </c>
    </row>
    <row r="3">
      <c r="A3" s="9" t="s">
        <v>32</v>
      </c>
      <c r="B3" s="9" t="s">
        <v>33</v>
      </c>
      <c r="C3" s="9" t="s">
        <v>34</v>
      </c>
      <c r="D3" s="9" t="s">
        <v>35</v>
      </c>
    </row>
    <row r="4">
      <c r="A4" s="9" t="s">
        <v>36</v>
      </c>
      <c r="B4" s="9" t="s">
        <v>37</v>
      </c>
      <c r="C4" s="9" t="s">
        <v>38</v>
      </c>
      <c r="D4" s="10" t="s">
        <v>39</v>
      </c>
    </row>
    <row r="5">
      <c r="A5" s="9" t="s">
        <v>40</v>
      </c>
      <c r="B5" s="9" t="s">
        <v>41</v>
      </c>
      <c r="C5" s="9" t="s">
        <v>42</v>
      </c>
      <c r="D5" s="9" t="s">
        <v>43</v>
      </c>
    </row>
    <row r="6">
      <c r="A6" s="9" t="s">
        <v>44</v>
      </c>
      <c r="B6" s="9" t="s">
        <v>45</v>
      </c>
      <c r="C6" s="9" t="s">
        <v>46</v>
      </c>
      <c r="D6" s="9" t="s">
        <v>47</v>
      </c>
    </row>
    <row r="7">
      <c r="A7" s="9" t="s">
        <v>48</v>
      </c>
      <c r="B7" s="9" t="s">
        <v>49</v>
      </c>
      <c r="C7" s="9" t="s">
        <v>50</v>
      </c>
      <c r="D7" s="9" t="s">
        <v>51</v>
      </c>
    </row>
    <row r="8">
      <c r="A8" s="9" t="s">
        <v>52</v>
      </c>
      <c r="B8" s="9" t="s">
        <v>53</v>
      </c>
      <c r="C8" s="9" t="s">
        <v>54</v>
      </c>
      <c r="D8" s="9" t="s">
        <v>55</v>
      </c>
    </row>
    <row r="9">
      <c r="A9" s="9" t="s">
        <v>56</v>
      </c>
      <c r="B9" s="9" t="s">
        <v>57</v>
      </c>
      <c r="C9" s="9" t="s">
        <v>58</v>
      </c>
      <c r="D9" s="11" t="s">
        <v>59</v>
      </c>
    </row>
    <row r="10">
      <c r="A10" s="9" t="s">
        <v>60</v>
      </c>
      <c r="B10" s="9" t="s">
        <v>61</v>
      </c>
      <c r="C10" s="9" t="s">
        <v>62</v>
      </c>
      <c r="D10" s="9" t="s">
        <v>63</v>
      </c>
    </row>
    <row r="11">
      <c r="A11" s="12"/>
      <c r="B11" s="12"/>
      <c r="C11" s="12"/>
      <c r="D11" s="12"/>
    </row>
    <row r="12">
      <c r="A12" s="8"/>
      <c r="B12" s="13"/>
      <c r="C12" s="13"/>
      <c r="D12" s="13"/>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4"/>
      <c r="B1" s="14"/>
      <c r="C1" s="14" t="s">
        <v>64</v>
      </c>
      <c r="E1" s="14"/>
      <c r="F1" s="15"/>
      <c r="G1" s="15"/>
      <c r="H1" s="14"/>
    </row>
    <row r="2">
      <c r="A2" s="16" t="s">
        <v>65</v>
      </c>
      <c r="B2" s="16" t="s">
        <v>66</v>
      </c>
      <c r="C2" s="16" t="s">
        <v>67</v>
      </c>
      <c r="D2" s="16" t="s">
        <v>68</v>
      </c>
      <c r="E2" s="16" t="s">
        <v>69</v>
      </c>
      <c r="F2" s="17" t="s">
        <v>70</v>
      </c>
      <c r="G2" s="17" t="s">
        <v>71</v>
      </c>
      <c r="H2" s="16" t="s">
        <v>72</v>
      </c>
    </row>
    <row r="3">
      <c r="A3" s="18">
        <v>1.0</v>
      </c>
      <c r="B3" s="19">
        <v>45952.0</v>
      </c>
      <c r="C3" s="9" t="s">
        <v>73</v>
      </c>
      <c r="D3" s="9" t="s">
        <v>74</v>
      </c>
      <c r="E3" s="9" t="s">
        <v>75</v>
      </c>
      <c r="F3" s="9" t="s">
        <v>76</v>
      </c>
      <c r="G3" s="9" t="s">
        <v>77</v>
      </c>
      <c r="H3" s="20" t="s">
        <v>78</v>
      </c>
    </row>
    <row r="4">
      <c r="A4" s="18">
        <v>2.0</v>
      </c>
      <c r="B4" s="21">
        <f t="shared" ref="B4:B11" si="1">B3+7</f>
        <v>45959</v>
      </c>
      <c r="C4" s="9" t="s">
        <v>74</v>
      </c>
      <c r="D4" s="9" t="s">
        <v>73</v>
      </c>
      <c r="E4" s="9" t="s">
        <v>75</v>
      </c>
      <c r="F4" s="9" t="s">
        <v>79</v>
      </c>
      <c r="G4" s="9" t="s">
        <v>77</v>
      </c>
      <c r="H4" s="22"/>
    </row>
    <row r="5">
      <c r="A5" s="18">
        <v>3.0</v>
      </c>
      <c r="B5" s="21">
        <f t="shared" si="1"/>
        <v>45966</v>
      </c>
      <c r="C5" s="9" t="s">
        <v>74</v>
      </c>
      <c r="D5" s="9" t="s">
        <v>73</v>
      </c>
      <c r="E5" s="9" t="s">
        <v>75</v>
      </c>
      <c r="F5" s="9" t="s">
        <v>80</v>
      </c>
      <c r="G5" s="9" t="s">
        <v>77</v>
      </c>
      <c r="H5" s="22"/>
    </row>
    <row r="6">
      <c r="A6" s="18">
        <v>4.0</v>
      </c>
      <c r="B6" s="21">
        <f t="shared" si="1"/>
        <v>45973</v>
      </c>
      <c r="C6" s="9" t="s">
        <v>73</v>
      </c>
      <c r="D6" s="9" t="s">
        <v>74</v>
      </c>
      <c r="E6" s="9" t="s">
        <v>75</v>
      </c>
      <c r="F6" s="9" t="s">
        <v>80</v>
      </c>
      <c r="G6" s="9" t="s">
        <v>77</v>
      </c>
      <c r="H6" s="22"/>
    </row>
    <row r="7">
      <c r="A7" s="18">
        <v>5.0</v>
      </c>
      <c r="B7" s="21">
        <f t="shared" si="1"/>
        <v>45980</v>
      </c>
      <c r="C7" s="9" t="s">
        <v>73</v>
      </c>
      <c r="D7" s="9" t="s">
        <v>74</v>
      </c>
      <c r="E7" s="9" t="s">
        <v>75</v>
      </c>
      <c r="F7" s="9" t="s">
        <v>79</v>
      </c>
      <c r="G7" s="9" t="s">
        <v>77</v>
      </c>
      <c r="H7" s="22"/>
    </row>
    <row r="8">
      <c r="A8" s="18">
        <v>6.0</v>
      </c>
      <c r="B8" s="21">
        <f t="shared" si="1"/>
        <v>45987</v>
      </c>
      <c r="C8" s="9" t="s">
        <v>74</v>
      </c>
      <c r="D8" s="9" t="s">
        <v>73</v>
      </c>
      <c r="E8" s="9" t="s">
        <v>75</v>
      </c>
      <c r="F8" s="9" t="s">
        <v>81</v>
      </c>
      <c r="G8" s="9" t="s">
        <v>77</v>
      </c>
      <c r="H8" s="22"/>
    </row>
    <row r="9">
      <c r="A9" s="18">
        <v>7.0</v>
      </c>
      <c r="B9" s="21">
        <f t="shared" si="1"/>
        <v>45994</v>
      </c>
      <c r="C9" s="9" t="s">
        <v>73</v>
      </c>
      <c r="D9" s="9" t="s">
        <v>74</v>
      </c>
      <c r="E9" s="9" t="s">
        <v>75</v>
      </c>
      <c r="F9" s="9" t="s">
        <v>81</v>
      </c>
      <c r="G9" s="9" t="s">
        <v>77</v>
      </c>
      <c r="H9" s="20" t="s">
        <v>82</v>
      </c>
    </row>
    <row r="10">
      <c r="A10" s="18">
        <v>8.0</v>
      </c>
      <c r="B10" s="21">
        <f t="shared" si="1"/>
        <v>46001</v>
      </c>
      <c r="C10" s="9" t="s">
        <v>74</v>
      </c>
      <c r="D10" s="9" t="s">
        <v>73</v>
      </c>
      <c r="E10" s="9" t="s">
        <v>75</v>
      </c>
      <c r="F10" s="9" t="s">
        <v>76</v>
      </c>
      <c r="G10" s="9" t="s">
        <v>77</v>
      </c>
      <c r="H10" s="22"/>
    </row>
    <row r="11">
      <c r="A11" s="18">
        <v>9.0</v>
      </c>
      <c r="B11" s="21">
        <f t="shared" si="1"/>
        <v>46008</v>
      </c>
      <c r="C11" s="9" t="s">
        <v>73</v>
      </c>
      <c r="D11" s="9" t="s">
        <v>74</v>
      </c>
      <c r="E11" s="9" t="s">
        <v>75</v>
      </c>
      <c r="F11" s="9" t="s">
        <v>83</v>
      </c>
      <c r="G11" s="9" t="s">
        <v>77</v>
      </c>
      <c r="H11" s="22"/>
    </row>
    <row r="12">
      <c r="A12" s="18">
        <v>10.0</v>
      </c>
      <c r="B12" s="19">
        <v>44937.0</v>
      </c>
      <c r="C12" s="9" t="s">
        <v>74</v>
      </c>
      <c r="D12" s="9" t="s">
        <v>73</v>
      </c>
      <c r="E12" s="9" t="s">
        <v>75</v>
      </c>
      <c r="F12" s="9" t="s">
        <v>83</v>
      </c>
      <c r="G12" s="9" t="s">
        <v>77</v>
      </c>
      <c r="H12" s="22"/>
    </row>
    <row r="13">
      <c r="A13" s="18">
        <v>11.0</v>
      </c>
      <c r="B13" s="21">
        <f t="shared" ref="B13:B17" si="2">B12+7</f>
        <v>44944</v>
      </c>
      <c r="C13" s="9" t="s">
        <v>73</v>
      </c>
      <c r="D13" s="9" t="s">
        <v>74</v>
      </c>
      <c r="E13" s="9" t="s">
        <v>75</v>
      </c>
      <c r="F13" s="9" t="s">
        <v>84</v>
      </c>
      <c r="G13" s="9" t="s">
        <v>77</v>
      </c>
      <c r="H13" s="22"/>
    </row>
    <row r="14">
      <c r="A14" s="18">
        <v>12.0</v>
      </c>
      <c r="B14" s="21">
        <f t="shared" si="2"/>
        <v>44951</v>
      </c>
      <c r="C14" s="9" t="s">
        <v>74</v>
      </c>
      <c r="D14" s="9" t="s">
        <v>73</v>
      </c>
      <c r="E14" s="9" t="s">
        <v>75</v>
      </c>
      <c r="F14" s="9" t="s">
        <v>84</v>
      </c>
      <c r="G14" s="9" t="s">
        <v>77</v>
      </c>
      <c r="H14" s="22"/>
    </row>
    <row r="15">
      <c r="A15" s="18">
        <v>13.0</v>
      </c>
      <c r="B15" s="21">
        <f t="shared" si="2"/>
        <v>44958</v>
      </c>
      <c r="C15" s="9" t="s">
        <v>73</v>
      </c>
      <c r="D15" s="9" t="s">
        <v>74</v>
      </c>
      <c r="E15" s="9" t="s">
        <v>75</v>
      </c>
      <c r="F15" s="12"/>
      <c r="G15" s="9" t="s">
        <v>77</v>
      </c>
      <c r="H15" s="22"/>
    </row>
    <row r="16">
      <c r="A16" s="18">
        <v>14.0</v>
      </c>
      <c r="B16" s="21">
        <f t="shared" si="2"/>
        <v>44965</v>
      </c>
      <c r="C16" s="9" t="s">
        <v>74</v>
      </c>
      <c r="D16" s="9" t="s">
        <v>73</v>
      </c>
      <c r="E16" s="9" t="s">
        <v>75</v>
      </c>
      <c r="F16" s="12"/>
      <c r="G16" s="9" t="s">
        <v>77</v>
      </c>
      <c r="H16" s="20" t="s">
        <v>85</v>
      </c>
    </row>
    <row r="17">
      <c r="A17" s="18">
        <v>15.0</v>
      </c>
      <c r="B17" s="21">
        <f t="shared" si="2"/>
        <v>44972</v>
      </c>
      <c r="C17" s="9" t="s">
        <v>73</v>
      </c>
      <c r="D17" s="9" t="s">
        <v>74</v>
      </c>
      <c r="E17" s="9" t="s">
        <v>75</v>
      </c>
      <c r="F17" s="12"/>
      <c r="G17" s="9" t="s">
        <v>77</v>
      </c>
      <c r="H17" s="20" t="s">
        <v>86</v>
      </c>
    </row>
    <row r="18">
      <c r="A18" s="18"/>
      <c r="B18" s="23"/>
      <c r="C18" s="12"/>
      <c r="D18" s="12"/>
      <c r="E18" s="12"/>
      <c r="F18" s="12"/>
      <c r="G18" s="12"/>
      <c r="H18" s="24"/>
    </row>
    <row r="19">
      <c r="A19" s="20" t="s">
        <v>87</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7" t="s">
        <v>88</v>
      </c>
      <c r="B1" s="28" t="s">
        <v>89</v>
      </c>
    </row>
    <row r="2">
      <c r="A2" s="29"/>
      <c r="B2" s="30"/>
    </row>
    <row r="3">
      <c r="A3" s="31" t="s">
        <v>90</v>
      </c>
      <c r="B3" s="28" t="s">
        <v>91</v>
      </c>
    </row>
    <row r="4">
      <c r="A4" s="29"/>
      <c r="B4" s="30"/>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32"/>
    </row>
    <row r="12">
      <c r="A12" s="30"/>
      <c r="B12" s="30"/>
    </row>
    <row r="13">
      <c r="A13" s="31" t="s">
        <v>99</v>
      </c>
      <c r="B13" s="32"/>
    </row>
    <row r="14">
      <c r="A14" s="30"/>
      <c r="B14" s="30"/>
    </row>
    <row r="15">
      <c r="A15" s="33" t="s">
        <v>100</v>
      </c>
      <c r="B15" s="28" t="s">
        <v>101</v>
      </c>
    </row>
    <row r="16">
      <c r="A16" s="30"/>
      <c r="B16" s="30"/>
    </row>
    <row r="17">
      <c r="A17" s="33" t="s">
        <v>102</v>
      </c>
      <c r="B17" s="28" t="s">
        <v>103</v>
      </c>
    </row>
    <row r="18">
      <c r="A18" s="30"/>
      <c r="B18" s="30"/>
    </row>
    <row r="19">
      <c r="A19" s="31" t="s">
        <v>104</v>
      </c>
      <c r="B19" s="33"/>
    </row>
    <row r="21">
      <c r="A21" s="34" t="s">
        <v>71</v>
      </c>
      <c r="B21" s="35" t="s">
        <v>77</v>
      </c>
    </row>
    <row r="22">
      <c r="A22" s="34" t="s">
        <v>105</v>
      </c>
      <c r="B22" s="35" t="s">
        <v>73</v>
      </c>
    </row>
    <row r="23">
      <c r="A23" s="34" t="s">
        <v>105</v>
      </c>
      <c r="B23" s="35" t="s">
        <v>74</v>
      </c>
    </row>
    <row r="24">
      <c r="A24" s="34" t="s">
        <v>106</v>
      </c>
      <c r="B24" s="35" t="s">
        <v>80</v>
      </c>
    </row>
    <row r="25">
      <c r="A25" s="34" t="s">
        <v>106</v>
      </c>
      <c r="B25" s="35" t="s">
        <v>81</v>
      </c>
    </row>
    <row r="26">
      <c r="A26" s="34" t="s">
        <v>106</v>
      </c>
      <c r="B26" s="35" t="s">
        <v>79</v>
      </c>
    </row>
    <row r="27">
      <c r="A27" s="34" t="s">
        <v>106</v>
      </c>
      <c r="B27" s="35" t="s">
        <v>76</v>
      </c>
    </row>
    <row r="28">
      <c r="A28" s="34" t="s">
        <v>106</v>
      </c>
      <c r="B28" s="35" t="s">
        <v>83</v>
      </c>
    </row>
    <row r="29">
      <c r="A29" s="34" t="s">
        <v>106</v>
      </c>
      <c r="B29" s="35" t="s">
        <v>84</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107</v>
      </c>
      <c r="B1" s="36" t="s">
        <v>108</v>
      </c>
    </row>
    <row r="2">
      <c r="A2" s="37"/>
      <c r="B2" s="38"/>
    </row>
    <row r="3">
      <c r="A3" s="39" t="s">
        <v>109</v>
      </c>
      <c r="B3" s="39" t="s">
        <v>110</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0" t="s">
        <v>111</v>
      </c>
      <c r="B1" s="40" t="s">
        <v>112</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113</v>
      </c>
      <c r="B1" s="4" t="s">
        <v>114</v>
      </c>
    </row>
    <row r="2">
      <c r="A2" s="42">
        <v>1.0</v>
      </c>
      <c r="B2" s="2" t="s">
        <v>115</v>
      </c>
    </row>
    <row r="3">
      <c r="A3" s="42">
        <f t="shared" ref="A3:A16" si="1">A2+1</f>
        <v>2</v>
      </c>
      <c r="B3" s="2" t="s">
        <v>116</v>
      </c>
    </row>
    <row r="4">
      <c r="A4" s="42">
        <f t="shared" si="1"/>
        <v>3</v>
      </c>
      <c r="B4" s="2" t="s">
        <v>117</v>
      </c>
    </row>
    <row r="5">
      <c r="A5" s="42">
        <f t="shared" si="1"/>
        <v>4</v>
      </c>
      <c r="B5" s="35" t="s">
        <v>118</v>
      </c>
    </row>
    <row r="6">
      <c r="A6" s="42">
        <f t="shared" si="1"/>
        <v>5</v>
      </c>
      <c r="B6" s="2" t="s">
        <v>119</v>
      </c>
    </row>
    <row r="7">
      <c r="A7" s="42">
        <f t="shared" si="1"/>
        <v>6</v>
      </c>
      <c r="B7" s="3"/>
    </row>
    <row r="8">
      <c r="A8" s="42">
        <f t="shared" si="1"/>
        <v>7</v>
      </c>
      <c r="B8" s="3"/>
    </row>
    <row r="9">
      <c r="A9" s="42">
        <f t="shared" si="1"/>
        <v>8</v>
      </c>
      <c r="B9" s="3"/>
    </row>
    <row r="10">
      <c r="A10" s="42">
        <f t="shared" si="1"/>
        <v>9</v>
      </c>
      <c r="B10" s="3"/>
    </row>
    <row r="11">
      <c r="A11" s="42">
        <f t="shared" si="1"/>
        <v>10</v>
      </c>
      <c r="B11" s="3"/>
    </row>
    <row r="12">
      <c r="A12" s="42">
        <f t="shared" si="1"/>
        <v>11</v>
      </c>
      <c r="B12" s="3"/>
    </row>
    <row r="13">
      <c r="A13" s="42">
        <f t="shared" si="1"/>
        <v>12</v>
      </c>
      <c r="B13" s="3"/>
    </row>
    <row r="14">
      <c r="A14" s="42">
        <f t="shared" si="1"/>
        <v>13</v>
      </c>
      <c r="B14" s="3"/>
    </row>
    <row r="15">
      <c r="A15" s="42">
        <f t="shared" si="1"/>
        <v>14</v>
      </c>
      <c r="B15" s="3"/>
    </row>
    <row r="16">
      <c r="A16" s="42">
        <f t="shared" si="1"/>
        <v>15</v>
      </c>
      <c r="B16" s="3"/>
    </row>
    <row r="17">
      <c r="A17" s="42"/>
      <c r="B17" s="3"/>
    </row>
    <row r="18">
      <c r="A18" s="42"/>
      <c r="B18" s="3"/>
    </row>
    <row r="19">
      <c r="A19" s="43"/>
      <c r="B19" s="3"/>
    </row>
    <row r="20">
      <c r="A20" s="43"/>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113</v>
      </c>
      <c r="B1" s="4" t="s">
        <v>120</v>
      </c>
    </row>
    <row r="2">
      <c r="A2" s="42">
        <v>1.0</v>
      </c>
      <c r="B2" s="2"/>
    </row>
    <row r="3">
      <c r="A3" s="42">
        <f t="shared" ref="A3:A16" si="1">A2+1</f>
        <v>2</v>
      </c>
      <c r="B3" s="2"/>
    </row>
    <row r="4">
      <c r="A4" s="42">
        <f t="shared" si="1"/>
        <v>3</v>
      </c>
      <c r="B4" s="2"/>
    </row>
    <row r="5">
      <c r="A5" s="42">
        <f t="shared" si="1"/>
        <v>4</v>
      </c>
    </row>
    <row r="6">
      <c r="A6" s="42">
        <f t="shared" si="1"/>
        <v>5</v>
      </c>
      <c r="B6" s="2"/>
    </row>
    <row r="7">
      <c r="A7" s="42">
        <f t="shared" si="1"/>
        <v>6</v>
      </c>
      <c r="B7" s="3"/>
    </row>
    <row r="8">
      <c r="A8" s="42">
        <f t="shared" si="1"/>
        <v>7</v>
      </c>
      <c r="B8" s="3"/>
    </row>
    <row r="9">
      <c r="A9" s="42">
        <f t="shared" si="1"/>
        <v>8</v>
      </c>
      <c r="B9" s="3"/>
    </row>
    <row r="10">
      <c r="A10" s="42">
        <f t="shared" si="1"/>
        <v>9</v>
      </c>
      <c r="B10" s="3"/>
    </row>
    <row r="11">
      <c r="A11" s="42">
        <f t="shared" si="1"/>
        <v>10</v>
      </c>
      <c r="B11" s="3"/>
    </row>
    <row r="12">
      <c r="A12" s="42">
        <f t="shared" si="1"/>
        <v>11</v>
      </c>
      <c r="B12" s="3"/>
    </row>
    <row r="13">
      <c r="A13" s="42">
        <f t="shared" si="1"/>
        <v>12</v>
      </c>
      <c r="B13" s="3"/>
    </row>
    <row r="14">
      <c r="A14" s="42">
        <f t="shared" si="1"/>
        <v>13</v>
      </c>
      <c r="B14" s="3"/>
    </row>
    <row r="15">
      <c r="A15" s="42">
        <f t="shared" si="1"/>
        <v>14</v>
      </c>
      <c r="B15" s="3"/>
    </row>
    <row r="16">
      <c r="A16" s="42">
        <f t="shared" si="1"/>
        <v>15</v>
      </c>
      <c r="B16" s="3"/>
    </row>
    <row r="17">
      <c r="A17" s="42"/>
      <c r="B17" s="3"/>
    </row>
    <row r="18">
      <c r="A18" s="42"/>
      <c r="B18" s="44" t="s">
        <v>121</v>
      </c>
    </row>
    <row r="19">
      <c r="A19" s="43"/>
      <c r="B19" s="3"/>
    </row>
    <row r="20">
      <c r="A20" s="43"/>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5" t="s">
        <v>122</v>
      </c>
      <c r="B1" s="46" t="s">
        <v>123</v>
      </c>
      <c r="C1" s="47" t="s">
        <v>124</v>
      </c>
      <c r="D1" s="48" t="s">
        <v>125</v>
      </c>
      <c r="E1" s="48" t="s">
        <v>126</v>
      </c>
      <c r="F1" s="48" t="s">
        <v>127</v>
      </c>
      <c r="G1" s="48" t="s">
        <v>128</v>
      </c>
    </row>
    <row r="2">
      <c r="A2" s="49"/>
      <c r="B2" s="50"/>
      <c r="C2" s="32"/>
      <c r="D2" s="32"/>
      <c r="E2" s="32"/>
      <c r="F2" s="32"/>
      <c r="G2" s="32"/>
    </row>
    <row r="3">
      <c r="A3" s="51" t="s">
        <v>129</v>
      </c>
      <c r="B3" s="52"/>
      <c r="C3" s="53"/>
      <c r="D3" s="53"/>
      <c r="E3" s="53"/>
      <c r="F3" s="53"/>
      <c r="G3" s="53"/>
    </row>
    <row r="4">
      <c r="A4" s="49"/>
      <c r="B4" s="50"/>
      <c r="C4" s="32"/>
      <c r="D4" s="32"/>
      <c r="E4" s="32"/>
      <c r="F4" s="32"/>
      <c r="G4" s="32"/>
    </row>
    <row r="5">
      <c r="A5" s="54" t="s">
        <v>130</v>
      </c>
      <c r="B5" s="55"/>
      <c r="C5" s="30"/>
      <c r="D5" s="56">
        <f>sum(D8:D13)</f>
        <v>0</v>
      </c>
      <c r="E5" s="56">
        <f>D5</f>
        <v>0</v>
      </c>
      <c r="F5" s="30"/>
      <c r="G5" s="30"/>
    </row>
    <row r="6">
      <c r="A6" s="49"/>
      <c r="B6" s="50"/>
      <c r="C6" s="32"/>
      <c r="D6" s="32"/>
      <c r="E6" s="32"/>
      <c r="F6" s="32"/>
      <c r="G6" s="32"/>
    </row>
    <row r="7">
      <c r="A7" s="57" t="s">
        <v>131</v>
      </c>
      <c r="B7" s="58"/>
      <c r="C7" s="59"/>
      <c r="D7" s="59"/>
      <c r="E7" s="59"/>
      <c r="F7" s="59"/>
      <c r="G7" s="59"/>
    </row>
    <row r="8">
      <c r="A8" s="49"/>
      <c r="B8" s="50"/>
      <c r="C8" s="32"/>
      <c r="D8" s="32"/>
      <c r="E8" s="60" t="s">
        <v>132</v>
      </c>
      <c r="F8" s="32"/>
      <c r="G8" s="60" t="s">
        <v>133</v>
      </c>
    </row>
    <row r="9">
      <c r="A9" s="61">
        <v>1.0</v>
      </c>
      <c r="B9" s="54"/>
      <c r="C9" s="30"/>
      <c r="D9" s="56">
        <f>sum(D16:D21)</f>
        <v>0</v>
      </c>
      <c r="E9" s="56">
        <f>$D$5</f>
        <v>0</v>
      </c>
      <c r="F9" s="56">
        <f>sum(F16:F21)</f>
        <v>0</v>
      </c>
      <c r="G9" s="56">
        <f>$D$5</f>
        <v>0</v>
      </c>
    </row>
    <row r="10">
      <c r="A10" s="49">
        <f t="shared" ref="A10:A11" si="1">A9+1</f>
        <v>2</v>
      </c>
      <c r="B10" s="50"/>
      <c r="C10" s="32"/>
      <c r="D10" s="62">
        <f>sum(D22:D27)</f>
        <v>0</v>
      </c>
      <c r="E10" s="62">
        <f t="shared" ref="E10:E12" si="2">E9-D9</f>
        <v>0</v>
      </c>
      <c r="F10" s="62">
        <f>sum(F22:F27)</f>
        <v>0</v>
      </c>
      <c r="G10" s="62">
        <f t="shared" ref="G10:G12" si="3">G9-F9</f>
        <v>0</v>
      </c>
    </row>
    <row r="11">
      <c r="A11" s="61">
        <f t="shared" si="1"/>
        <v>3</v>
      </c>
      <c r="B11" s="54"/>
      <c r="C11" s="30"/>
      <c r="D11" s="56">
        <f>sum(D28:D33)</f>
        <v>0</v>
      </c>
      <c r="E11" s="56">
        <f t="shared" si="2"/>
        <v>0</v>
      </c>
      <c r="F11" s="56">
        <f>sum(F28:F33)</f>
        <v>0</v>
      </c>
      <c r="G11" s="56">
        <f t="shared" si="3"/>
        <v>0</v>
      </c>
    </row>
    <row r="12">
      <c r="A12" s="63" t="s">
        <v>134</v>
      </c>
      <c r="B12" s="64"/>
      <c r="C12" s="32"/>
      <c r="D12" s="32"/>
      <c r="E12" s="62">
        <f t="shared" si="2"/>
        <v>0</v>
      </c>
      <c r="F12" s="32"/>
      <c r="G12" s="62">
        <f t="shared" si="3"/>
        <v>0</v>
      </c>
    </row>
    <row r="13">
      <c r="A13" s="61"/>
      <c r="B13" s="54"/>
      <c r="C13" s="30"/>
      <c r="D13" s="30"/>
      <c r="E13" s="30"/>
      <c r="F13" s="30"/>
      <c r="G13" s="30"/>
    </row>
    <row r="14">
      <c r="A14" s="65" t="s">
        <v>135</v>
      </c>
      <c r="B14" s="66"/>
      <c r="C14" s="67"/>
      <c r="D14" s="67"/>
      <c r="E14" s="67"/>
      <c r="F14" s="67"/>
      <c r="G14" s="67"/>
    </row>
    <row r="15">
      <c r="A15" s="61"/>
      <c r="B15" s="54"/>
      <c r="C15" s="30"/>
      <c r="D15" s="30"/>
      <c r="E15" s="30"/>
      <c r="F15" s="30"/>
      <c r="G15" s="30"/>
    </row>
    <row r="16">
      <c r="A16" s="68">
        <f t="shared" ref="A16:B16" si="4">A9</f>
        <v>1</v>
      </c>
      <c r="B16" s="69" t="str">
        <f t="shared" si="4"/>
        <v/>
      </c>
      <c r="C16" s="32"/>
      <c r="D16" s="32"/>
      <c r="E16" s="32"/>
      <c r="F16" s="32"/>
      <c r="G16" s="32"/>
    </row>
    <row r="17">
      <c r="A17" s="61"/>
      <c r="B17" s="70"/>
      <c r="C17" s="30"/>
      <c r="D17" s="30"/>
      <c r="E17" s="30"/>
      <c r="F17" s="30"/>
      <c r="G17" s="30"/>
    </row>
    <row r="18">
      <c r="A18" s="49"/>
      <c r="B18" s="50"/>
      <c r="C18" s="64"/>
      <c r="D18" s="71"/>
      <c r="E18" s="50"/>
      <c r="F18" s="71"/>
      <c r="G18" s="50"/>
    </row>
    <row r="19">
      <c r="A19" s="61"/>
      <c r="B19" s="70"/>
      <c r="C19" s="30"/>
      <c r="D19" s="56"/>
      <c r="E19" s="30"/>
      <c r="F19" s="56"/>
      <c r="G19" s="30"/>
    </row>
    <row r="20">
      <c r="A20" s="72"/>
      <c r="B20" s="64"/>
      <c r="C20" s="64"/>
      <c r="D20" s="62"/>
      <c r="E20" s="64"/>
      <c r="F20" s="62"/>
      <c r="G20" s="64"/>
    </row>
    <row r="21">
      <c r="A21" s="61"/>
      <c r="B21" s="70"/>
      <c r="C21" s="30"/>
      <c r="D21" s="56"/>
      <c r="E21" s="30"/>
      <c r="F21" s="56"/>
      <c r="G21" s="30"/>
    </row>
    <row r="22">
      <c r="A22" s="68">
        <f t="shared" ref="A22:B22" si="5">A10</f>
        <v>2</v>
      </c>
      <c r="B22" s="69" t="str">
        <f t="shared" si="5"/>
        <v/>
      </c>
      <c r="C22" s="32"/>
      <c r="D22" s="32"/>
      <c r="E22" s="32"/>
      <c r="F22" s="32"/>
      <c r="G22" s="32"/>
    </row>
    <row r="23">
      <c r="A23" s="61"/>
      <c r="B23" s="70"/>
      <c r="C23" s="30"/>
      <c r="D23" s="30"/>
      <c r="E23" s="30"/>
      <c r="F23" s="30"/>
      <c r="G23" s="30"/>
    </row>
    <row r="24">
      <c r="A24" s="72"/>
      <c r="B24" s="64"/>
      <c r="C24" s="64"/>
      <c r="D24" s="62"/>
      <c r="E24" s="64"/>
      <c r="F24" s="62"/>
      <c r="G24" s="64"/>
    </row>
    <row r="25">
      <c r="A25" s="61"/>
      <c r="B25" s="70"/>
      <c r="C25" s="30"/>
      <c r="D25" s="56"/>
      <c r="E25" s="30"/>
      <c r="F25" s="56"/>
      <c r="G25" s="30"/>
    </row>
    <row r="26">
      <c r="A26" s="72"/>
      <c r="B26" s="64"/>
      <c r="C26" s="64"/>
      <c r="D26" s="62"/>
      <c r="E26" s="64"/>
      <c r="F26" s="62"/>
      <c r="G26" s="64"/>
    </row>
    <row r="27">
      <c r="A27" s="61"/>
      <c r="B27" s="70"/>
      <c r="C27" s="30"/>
      <c r="D27" s="56"/>
      <c r="E27" s="30"/>
      <c r="F27" s="56"/>
      <c r="G27" s="30"/>
    </row>
    <row r="28">
      <c r="A28" s="68">
        <f t="shared" ref="A28:B28" si="6">A11</f>
        <v>3</v>
      </c>
      <c r="B28" s="69" t="str">
        <f t="shared" si="6"/>
        <v/>
      </c>
      <c r="C28" s="32"/>
      <c r="D28" s="32"/>
      <c r="E28" s="32"/>
      <c r="F28" s="32"/>
      <c r="G28" s="32"/>
    </row>
    <row r="29">
      <c r="A29" s="61"/>
      <c r="B29" s="70"/>
      <c r="C29" s="30"/>
      <c r="D29" s="30"/>
      <c r="E29" s="30"/>
      <c r="F29" s="30"/>
      <c r="G29" s="30"/>
    </row>
    <row r="30">
      <c r="A30" s="72"/>
      <c r="B30" s="64"/>
      <c r="C30" s="64"/>
      <c r="D30" s="62"/>
      <c r="E30" s="64"/>
      <c r="F30" s="64"/>
      <c r="G30" s="64"/>
    </row>
    <row r="31">
      <c r="A31" s="61"/>
      <c r="B31" s="70"/>
      <c r="C31" s="30"/>
      <c r="D31" s="56"/>
      <c r="E31" s="30"/>
      <c r="F31" s="30"/>
      <c r="G31" s="30"/>
    </row>
    <row r="32">
      <c r="A32" s="72"/>
      <c r="B32" s="64"/>
      <c r="C32" s="32"/>
      <c r="D32" s="62"/>
      <c r="E32" s="64"/>
      <c r="F32" s="64"/>
      <c r="G32" s="64"/>
    </row>
    <row r="33">
      <c r="A33" s="61"/>
      <c r="B33" s="70"/>
      <c r="C33" s="73" t="s">
        <v>136</v>
      </c>
      <c r="D33" s="56"/>
      <c r="E33" s="30"/>
      <c r="F33" s="30"/>
      <c r="G33" s="30"/>
    </row>
    <row r="34">
      <c r="A34" s="72"/>
      <c r="B34" s="64"/>
      <c r="C34" s="32"/>
      <c r="D34" s="32"/>
      <c r="E34" s="32"/>
      <c r="F34" s="32"/>
      <c r="G34" s="3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5" t="s">
        <v>122</v>
      </c>
      <c r="B1" s="74" t="s">
        <v>123</v>
      </c>
      <c r="C1" s="47" t="s">
        <v>124</v>
      </c>
      <c r="D1" s="48" t="s">
        <v>125</v>
      </c>
      <c r="E1" s="48" t="s">
        <v>126</v>
      </c>
      <c r="F1" s="48" t="s">
        <v>127</v>
      </c>
      <c r="G1" s="48" t="s">
        <v>128</v>
      </c>
    </row>
    <row r="2">
      <c r="A2" s="49"/>
      <c r="B2" s="32"/>
      <c r="C2" s="32"/>
      <c r="D2" s="32"/>
      <c r="E2" s="32"/>
      <c r="F2" s="32"/>
      <c r="G2" s="32"/>
    </row>
    <row r="3">
      <c r="A3" s="51" t="s">
        <v>129</v>
      </c>
      <c r="B3" s="53"/>
      <c r="C3" s="53"/>
      <c r="D3" s="53"/>
      <c r="E3" s="53"/>
      <c r="F3" s="53"/>
      <c r="G3" s="53"/>
    </row>
    <row r="4">
      <c r="A4" s="49"/>
      <c r="B4" s="32"/>
      <c r="C4" s="32"/>
      <c r="D4" s="32"/>
      <c r="E4" s="32"/>
      <c r="F4" s="32"/>
      <c r="G4" s="32"/>
    </row>
    <row r="5">
      <c r="A5" s="54" t="s">
        <v>130</v>
      </c>
      <c r="B5" s="30"/>
      <c r="C5" s="30"/>
      <c r="D5" s="56">
        <f>sum(D8:D13)</f>
        <v>0</v>
      </c>
      <c r="E5" s="56">
        <f>D5</f>
        <v>0</v>
      </c>
      <c r="F5" s="30"/>
      <c r="G5" s="30"/>
    </row>
    <row r="6">
      <c r="A6" s="49"/>
      <c r="B6" s="32"/>
      <c r="C6" s="32"/>
      <c r="D6" s="32"/>
      <c r="E6" s="32"/>
      <c r="F6" s="32"/>
      <c r="G6" s="32"/>
    </row>
    <row r="7">
      <c r="A7" s="57" t="s">
        <v>131</v>
      </c>
      <c r="B7" s="75"/>
      <c r="C7" s="59"/>
      <c r="D7" s="59"/>
      <c r="E7" s="59"/>
      <c r="F7" s="59"/>
      <c r="G7" s="59"/>
    </row>
    <row r="8">
      <c r="A8" s="49"/>
      <c r="B8" s="32"/>
      <c r="C8" s="32"/>
      <c r="D8" s="32"/>
      <c r="E8" s="60" t="s">
        <v>132</v>
      </c>
      <c r="F8" s="32"/>
      <c r="G8" s="60" t="s">
        <v>133</v>
      </c>
    </row>
    <row r="9">
      <c r="A9" s="61">
        <v>1.0</v>
      </c>
      <c r="B9" s="30"/>
      <c r="C9" s="30"/>
      <c r="D9" s="56">
        <f>sum(D16:D21)</f>
        <v>0</v>
      </c>
      <c r="E9" s="56">
        <f>$D$5</f>
        <v>0</v>
      </c>
      <c r="F9" s="56">
        <f>sum(F16:F21)</f>
        <v>0</v>
      </c>
      <c r="G9" s="56">
        <f>$D$5</f>
        <v>0</v>
      </c>
    </row>
    <row r="10">
      <c r="A10" s="49">
        <f t="shared" ref="A10:A11" si="1">A9+1</f>
        <v>2</v>
      </c>
      <c r="B10" s="32"/>
      <c r="C10" s="32"/>
      <c r="D10" s="62">
        <f>sum(D22:D27)</f>
        <v>0</v>
      </c>
      <c r="E10" s="62">
        <f t="shared" ref="E10:E12" si="2">E9-D9</f>
        <v>0</v>
      </c>
      <c r="F10" s="62">
        <f>sum(F22:F27)</f>
        <v>0</v>
      </c>
      <c r="G10" s="62">
        <f t="shared" ref="G10:G12" si="3">G9-F9</f>
        <v>0</v>
      </c>
    </row>
    <row r="11">
      <c r="A11" s="61">
        <f t="shared" si="1"/>
        <v>3</v>
      </c>
      <c r="B11" s="30"/>
      <c r="C11" s="30"/>
      <c r="D11" s="56">
        <f>sum(D28:D33)</f>
        <v>0</v>
      </c>
      <c r="E11" s="56">
        <f t="shared" si="2"/>
        <v>0</v>
      </c>
      <c r="F11" s="56">
        <f>sum(F28:F33)</f>
        <v>0</v>
      </c>
      <c r="G11" s="56">
        <f t="shared" si="3"/>
        <v>0</v>
      </c>
    </row>
    <row r="12">
      <c r="A12" s="63" t="s">
        <v>134</v>
      </c>
      <c r="B12" s="32"/>
      <c r="C12" s="32"/>
      <c r="D12" s="32"/>
      <c r="E12" s="62">
        <f t="shared" si="2"/>
        <v>0</v>
      </c>
      <c r="F12" s="32"/>
      <c r="G12" s="62">
        <f t="shared" si="3"/>
        <v>0</v>
      </c>
    </row>
    <row r="13">
      <c r="A13" s="61"/>
      <c r="B13" s="30"/>
      <c r="C13" s="30"/>
      <c r="D13" s="30"/>
      <c r="E13" s="30"/>
      <c r="F13" s="30"/>
      <c r="G13" s="30"/>
    </row>
    <row r="14">
      <c r="A14" s="65" t="s">
        <v>135</v>
      </c>
      <c r="B14" s="66"/>
      <c r="C14" s="67"/>
      <c r="D14" s="67"/>
      <c r="E14" s="67"/>
      <c r="F14" s="67"/>
      <c r="G14" s="67"/>
    </row>
    <row r="15">
      <c r="A15" s="61"/>
      <c r="B15" s="30"/>
      <c r="C15" s="30"/>
      <c r="D15" s="30"/>
      <c r="E15" s="30"/>
      <c r="F15" s="30"/>
      <c r="G15" s="30"/>
    </row>
    <row r="16">
      <c r="A16" s="68">
        <f>A9</f>
        <v>1</v>
      </c>
      <c r="B16" s="32"/>
      <c r="C16" s="32"/>
      <c r="D16" s="32"/>
      <c r="E16" s="32"/>
      <c r="F16" s="32"/>
      <c r="G16" s="32"/>
    </row>
    <row r="17">
      <c r="A17" s="61"/>
      <c r="B17" s="70"/>
      <c r="C17" s="30"/>
      <c r="D17" s="30"/>
      <c r="E17" s="30"/>
      <c r="F17" s="30"/>
      <c r="G17" s="30"/>
    </row>
    <row r="18">
      <c r="A18" s="49"/>
      <c r="B18" s="76"/>
      <c r="C18" s="64"/>
      <c r="D18" s="71"/>
      <c r="E18" s="50"/>
      <c r="F18" s="71"/>
      <c r="G18" s="50"/>
    </row>
    <row r="19">
      <c r="A19" s="61"/>
      <c r="B19" s="30"/>
      <c r="C19" s="30"/>
      <c r="D19" s="56"/>
      <c r="E19" s="30"/>
      <c r="F19" s="56"/>
      <c r="G19" s="30"/>
    </row>
    <row r="20">
      <c r="A20" s="72"/>
      <c r="B20" s="32"/>
      <c r="C20" s="64"/>
      <c r="D20" s="62"/>
      <c r="E20" s="64"/>
      <c r="F20" s="62"/>
      <c r="G20" s="64"/>
    </row>
    <row r="21">
      <c r="A21" s="61"/>
      <c r="B21" s="30"/>
      <c r="C21" s="30"/>
      <c r="D21" s="56"/>
      <c r="E21" s="30"/>
      <c r="F21" s="56"/>
      <c r="G21" s="30"/>
    </row>
    <row r="22">
      <c r="A22" s="68">
        <f>A10</f>
        <v>2</v>
      </c>
      <c r="B22" s="32"/>
      <c r="C22" s="32"/>
      <c r="D22" s="32"/>
      <c r="E22" s="32"/>
      <c r="F22" s="32"/>
      <c r="G22" s="32"/>
    </row>
    <row r="23">
      <c r="A23" s="61"/>
      <c r="B23" s="70"/>
      <c r="C23" s="30"/>
      <c r="D23" s="30"/>
      <c r="E23" s="30"/>
      <c r="F23" s="30"/>
      <c r="G23" s="30"/>
    </row>
    <row r="24">
      <c r="A24" s="72"/>
      <c r="B24" s="32"/>
      <c r="C24" s="64"/>
      <c r="D24" s="62"/>
      <c r="E24" s="64"/>
      <c r="F24" s="62"/>
      <c r="G24" s="64"/>
    </row>
    <row r="25">
      <c r="A25" s="61"/>
      <c r="B25" s="30"/>
      <c r="C25" s="30"/>
      <c r="D25" s="56"/>
      <c r="E25" s="30"/>
      <c r="F25" s="56"/>
      <c r="G25" s="30"/>
    </row>
    <row r="26">
      <c r="A26" s="72"/>
      <c r="B26" s="32"/>
      <c r="C26" s="64"/>
      <c r="D26" s="62"/>
      <c r="E26" s="64"/>
      <c r="F26" s="62"/>
      <c r="G26" s="64"/>
    </row>
    <row r="27">
      <c r="A27" s="61"/>
      <c r="B27" s="30"/>
      <c r="C27" s="30"/>
      <c r="D27" s="56"/>
      <c r="E27" s="30"/>
      <c r="F27" s="56"/>
      <c r="G27" s="30"/>
    </row>
    <row r="28">
      <c r="A28" s="68">
        <f>A11</f>
        <v>3</v>
      </c>
      <c r="B28" s="32"/>
      <c r="C28" s="32"/>
      <c r="D28" s="32"/>
      <c r="E28" s="32"/>
      <c r="F28" s="32"/>
      <c r="G28" s="32"/>
    </row>
    <row r="29">
      <c r="A29" s="61"/>
      <c r="B29" s="70"/>
      <c r="C29" s="30"/>
      <c r="D29" s="30"/>
      <c r="E29" s="30"/>
      <c r="F29" s="30"/>
      <c r="G29" s="30"/>
    </row>
    <row r="30">
      <c r="A30" s="72"/>
      <c r="B30" s="32"/>
      <c r="C30" s="64"/>
      <c r="D30" s="62"/>
      <c r="E30" s="64"/>
      <c r="F30" s="64"/>
      <c r="G30" s="64"/>
    </row>
    <row r="31">
      <c r="A31" s="61"/>
      <c r="B31" s="30"/>
      <c r="C31" s="30"/>
      <c r="D31" s="56"/>
      <c r="E31" s="30"/>
      <c r="F31" s="30"/>
      <c r="G31" s="30"/>
    </row>
    <row r="32">
      <c r="A32" s="72"/>
      <c r="B32" s="32"/>
      <c r="C32" s="32"/>
      <c r="D32" s="62"/>
      <c r="E32" s="64"/>
      <c r="F32" s="64"/>
      <c r="G32" s="64"/>
    </row>
    <row r="33">
      <c r="A33" s="61"/>
      <c r="B33" s="30"/>
      <c r="C33" s="73" t="s">
        <v>136</v>
      </c>
      <c r="D33" s="56"/>
      <c r="E33" s="30"/>
      <c r="F33" s="30"/>
      <c r="G33" s="30"/>
    </row>
    <row r="34">
      <c r="A34" s="72"/>
      <c r="B34" s="32"/>
      <c r="C34" s="32"/>
      <c r="D34" s="32"/>
      <c r="E34" s="32"/>
      <c r="F34" s="32"/>
      <c r="G34" s="32"/>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7" t="s">
        <v>65</v>
      </c>
      <c r="B1" s="46" t="s">
        <v>137</v>
      </c>
      <c r="C1" s="46" t="s">
        <v>138</v>
      </c>
      <c r="D1" s="78" t="s">
        <v>139</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140</v>
      </c>
      <c r="B1" s="4" t="s">
        <v>141</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8" width="37.63"/>
  </cols>
  <sheetData>
    <row r="1">
      <c r="A1" s="79" t="s">
        <v>65</v>
      </c>
      <c r="B1" s="79" t="s">
        <v>142</v>
      </c>
      <c r="C1" s="79" t="s">
        <v>143</v>
      </c>
      <c r="D1" s="79" t="s">
        <v>144</v>
      </c>
      <c r="E1" s="79" t="s">
        <v>145</v>
      </c>
      <c r="F1" s="79" t="s">
        <v>72</v>
      </c>
      <c r="G1" s="79" t="s">
        <v>146</v>
      </c>
      <c r="H1" s="79" t="s">
        <v>147</v>
      </c>
    </row>
    <row r="2">
      <c r="A2" s="80">
        <v>1.0</v>
      </c>
      <c r="B2" s="80" t="s">
        <v>148</v>
      </c>
      <c r="C2" s="80" t="s">
        <v>149</v>
      </c>
      <c r="D2" s="80" t="s">
        <v>150</v>
      </c>
      <c r="E2" s="80" t="s">
        <v>151</v>
      </c>
      <c r="F2" s="80" t="s">
        <v>152</v>
      </c>
      <c r="G2" s="80" t="s">
        <v>153</v>
      </c>
      <c r="H2" s="81"/>
    </row>
    <row r="3">
      <c r="A3" s="80">
        <v>2.0</v>
      </c>
      <c r="B3" s="80" t="s">
        <v>148</v>
      </c>
      <c r="C3" s="80" t="s">
        <v>154</v>
      </c>
      <c r="D3" s="80" t="s">
        <v>150</v>
      </c>
      <c r="E3" s="80" t="s">
        <v>151</v>
      </c>
      <c r="F3" s="80" t="s">
        <v>155</v>
      </c>
      <c r="G3" s="80" t="s">
        <v>153</v>
      </c>
      <c r="H3" s="81"/>
    </row>
    <row r="4">
      <c r="A4" s="80">
        <v>3.0</v>
      </c>
      <c r="B4" s="80" t="s">
        <v>148</v>
      </c>
      <c r="C4" s="80" t="s">
        <v>156</v>
      </c>
      <c r="D4" s="80" t="s">
        <v>157</v>
      </c>
      <c r="E4" s="80" t="s">
        <v>158</v>
      </c>
      <c r="F4" s="80" t="s">
        <v>159</v>
      </c>
      <c r="G4" s="80" t="s">
        <v>153</v>
      </c>
      <c r="H4" s="80" t="s">
        <v>160</v>
      </c>
    </row>
    <row r="5">
      <c r="A5" s="80">
        <v>4.0</v>
      </c>
      <c r="B5" s="80" t="s">
        <v>148</v>
      </c>
      <c r="C5" s="80" t="s">
        <v>161</v>
      </c>
      <c r="D5" s="80" t="s">
        <v>162</v>
      </c>
      <c r="E5" s="80" t="s">
        <v>151</v>
      </c>
      <c r="F5" s="80" t="s">
        <v>163</v>
      </c>
      <c r="G5" s="80" t="s">
        <v>153</v>
      </c>
      <c r="H5" s="80" t="s">
        <v>164</v>
      </c>
    </row>
    <row r="6">
      <c r="A6" s="82">
        <v>5.0</v>
      </c>
      <c r="B6" s="82" t="s">
        <v>148</v>
      </c>
      <c r="C6" s="82" t="s">
        <v>165</v>
      </c>
      <c r="D6" s="82" t="s">
        <v>166</v>
      </c>
      <c r="E6" s="82" t="s">
        <v>151</v>
      </c>
      <c r="F6" s="82" t="s">
        <v>167</v>
      </c>
      <c r="G6" s="82" t="s">
        <v>168</v>
      </c>
      <c r="H6" s="83"/>
    </row>
    <row r="7">
      <c r="A7" s="82">
        <v>6.0</v>
      </c>
      <c r="B7" s="82" t="s">
        <v>148</v>
      </c>
      <c r="C7" s="82" t="s">
        <v>169</v>
      </c>
      <c r="D7" s="82" t="s">
        <v>170</v>
      </c>
      <c r="E7" s="82" t="s">
        <v>171</v>
      </c>
      <c r="F7" s="82" t="s">
        <v>172</v>
      </c>
      <c r="G7" s="82" t="s">
        <v>168</v>
      </c>
      <c r="H7" s="83"/>
    </row>
    <row r="8">
      <c r="A8" s="82">
        <v>7.0</v>
      </c>
      <c r="B8" s="82" t="s">
        <v>148</v>
      </c>
      <c r="C8" s="82" t="s">
        <v>173</v>
      </c>
      <c r="D8" s="82" t="s">
        <v>174</v>
      </c>
      <c r="E8" s="82" t="s">
        <v>151</v>
      </c>
      <c r="F8" s="82" t="s">
        <v>175</v>
      </c>
      <c r="G8" s="82" t="s">
        <v>168</v>
      </c>
      <c r="H8" s="83"/>
    </row>
    <row r="9">
      <c r="A9" s="82">
        <v>8.0</v>
      </c>
      <c r="B9" s="82" t="s">
        <v>148</v>
      </c>
      <c r="C9" s="82" t="s">
        <v>176</v>
      </c>
      <c r="D9" s="82" t="s">
        <v>177</v>
      </c>
      <c r="E9" s="82" t="s">
        <v>151</v>
      </c>
      <c r="F9" s="82" t="s">
        <v>178</v>
      </c>
      <c r="G9" s="82" t="s">
        <v>168</v>
      </c>
      <c r="H9" s="83"/>
    </row>
    <row r="10">
      <c r="A10" s="82">
        <v>9.0</v>
      </c>
      <c r="B10" s="82" t="s">
        <v>148</v>
      </c>
      <c r="C10" s="82" t="s">
        <v>179</v>
      </c>
      <c r="D10" s="82" t="s">
        <v>180</v>
      </c>
      <c r="E10" s="82" t="s">
        <v>151</v>
      </c>
      <c r="F10" s="82" t="s">
        <v>181</v>
      </c>
      <c r="G10" s="82" t="s">
        <v>182</v>
      </c>
      <c r="H10" s="84"/>
    </row>
    <row r="11">
      <c r="A11" s="80">
        <v>10.0</v>
      </c>
      <c r="B11" s="80" t="s">
        <v>148</v>
      </c>
      <c r="C11" s="80" t="s">
        <v>183</v>
      </c>
      <c r="D11" s="80" t="s">
        <v>184</v>
      </c>
      <c r="E11" s="80" t="s">
        <v>151</v>
      </c>
      <c r="F11" s="80" t="s">
        <v>185</v>
      </c>
      <c r="G11" s="80" t="s">
        <v>153</v>
      </c>
      <c r="H11" s="80" t="s">
        <v>186</v>
      </c>
    </row>
    <row r="12">
      <c r="A12" s="80">
        <v>11.0</v>
      </c>
      <c r="B12" s="80" t="s">
        <v>148</v>
      </c>
      <c r="C12" s="80" t="s">
        <v>187</v>
      </c>
      <c r="D12" s="80" t="s">
        <v>150</v>
      </c>
      <c r="E12" s="80" t="s">
        <v>151</v>
      </c>
      <c r="F12" s="80" t="s">
        <v>188</v>
      </c>
      <c r="G12" s="80" t="s">
        <v>153</v>
      </c>
      <c r="H12" s="80" t="s">
        <v>186</v>
      </c>
    </row>
    <row r="13">
      <c r="A13" s="80">
        <v>12.0</v>
      </c>
      <c r="B13" s="80" t="s">
        <v>148</v>
      </c>
      <c r="C13" s="80" t="s">
        <v>189</v>
      </c>
      <c r="D13" s="80" t="s">
        <v>190</v>
      </c>
      <c r="E13" s="80" t="s">
        <v>151</v>
      </c>
      <c r="F13" s="80" t="s">
        <v>191</v>
      </c>
      <c r="G13" s="80" t="s">
        <v>153</v>
      </c>
      <c r="H13" s="80" t="s">
        <v>186</v>
      </c>
    </row>
    <row r="14">
      <c r="A14" s="80">
        <v>13.0</v>
      </c>
      <c r="B14" s="80" t="s">
        <v>148</v>
      </c>
      <c r="C14" s="80" t="s">
        <v>192</v>
      </c>
      <c r="D14" s="80" t="s">
        <v>193</v>
      </c>
      <c r="E14" s="80" t="s">
        <v>151</v>
      </c>
      <c r="F14" s="80" t="s">
        <v>194</v>
      </c>
      <c r="G14" s="80" t="s">
        <v>153</v>
      </c>
      <c r="H14" s="80" t="s">
        <v>186</v>
      </c>
    </row>
    <row r="15">
      <c r="A15" s="80">
        <v>14.0</v>
      </c>
      <c r="B15" s="80" t="s">
        <v>148</v>
      </c>
      <c r="C15" s="80" t="s">
        <v>195</v>
      </c>
      <c r="D15" s="80" t="s">
        <v>196</v>
      </c>
      <c r="E15" s="80" t="s">
        <v>151</v>
      </c>
      <c r="F15" s="80" t="s">
        <v>197</v>
      </c>
      <c r="G15" s="80" t="s">
        <v>153</v>
      </c>
      <c r="H15" s="80" t="s">
        <v>186</v>
      </c>
    </row>
    <row r="16">
      <c r="A16" s="80">
        <v>15.0</v>
      </c>
      <c r="B16" s="80" t="s">
        <v>148</v>
      </c>
      <c r="C16" s="80" t="s">
        <v>198</v>
      </c>
      <c r="D16" s="80" t="s">
        <v>199</v>
      </c>
      <c r="E16" s="80" t="s">
        <v>151</v>
      </c>
      <c r="F16" s="80" t="s">
        <v>200</v>
      </c>
      <c r="G16" s="80" t="s">
        <v>153</v>
      </c>
      <c r="H16" s="80" t="s">
        <v>186</v>
      </c>
    </row>
    <row r="17">
      <c r="A17" s="80">
        <v>16.0</v>
      </c>
      <c r="B17" s="80" t="s">
        <v>148</v>
      </c>
      <c r="C17" s="80" t="s">
        <v>201</v>
      </c>
      <c r="D17" s="80" t="s">
        <v>202</v>
      </c>
      <c r="E17" s="80" t="s">
        <v>151</v>
      </c>
      <c r="F17" s="80" t="s">
        <v>203</v>
      </c>
      <c r="G17" s="80" t="s">
        <v>153</v>
      </c>
      <c r="H17" s="80" t="s">
        <v>186</v>
      </c>
    </row>
    <row r="18">
      <c r="A18" s="80">
        <v>17.0</v>
      </c>
      <c r="B18" s="80" t="s">
        <v>148</v>
      </c>
      <c r="C18" s="80" t="s">
        <v>204</v>
      </c>
      <c r="D18" s="80" t="s">
        <v>202</v>
      </c>
      <c r="E18" s="80" t="s">
        <v>151</v>
      </c>
      <c r="F18" s="80" t="s">
        <v>205</v>
      </c>
      <c r="G18" s="80" t="s">
        <v>153</v>
      </c>
      <c r="H18" s="80" t="s">
        <v>186</v>
      </c>
    </row>
    <row r="19">
      <c r="A19" s="80">
        <v>18.0</v>
      </c>
      <c r="B19" s="80" t="s">
        <v>206</v>
      </c>
      <c r="C19" s="80" t="s">
        <v>207</v>
      </c>
      <c r="D19" s="80" t="s">
        <v>208</v>
      </c>
      <c r="E19" s="80" t="s">
        <v>171</v>
      </c>
      <c r="F19" s="80" t="s">
        <v>209</v>
      </c>
      <c r="G19" s="80" t="s">
        <v>153</v>
      </c>
      <c r="H19" s="80" t="s">
        <v>210</v>
      </c>
    </row>
    <row r="20">
      <c r="A20" s="80">
        <v>19.0</v>
      </c>
      <c r="B20" s="80" t="s">
        <v>206</v>
      </c>
      <c r="C20" s="80" t="s">
        <v>211</v>
      </c>
      <c r="D20" s="80" t="s">
        <v>212</v>
      </c>
      <c r="E20" s="80" t="s">
        <v>151</v>
      </c>
      <c r="F20" s="80" t="s">
        <v>213</v>
      </c>
      <c r="G20" s="80" t="s">
        <v>153</v>
      </c>
      <c r="H20" s="80" t="s">
        <v>214</v>
      </c>
    </row>
    <row r="21">
      <c r="A21" s="82">
        <v>20.0</v>
      </c>
      <c r="B21" s="82" t="s">
        <v>206</v>
      </c>
      <c r="C21" s="82" t="s">
        <v>215</v>
      </c>
      <c r="D21" s="82">
        <v>13.1</v>
      </c>
      <c r="E21" s="82" t="s">
        <v>171</v>
      </c>
      <c r="F21" s="82" t="s">
        <v>216</v>
      </c>
      <c r="G21" s="82" t="s">
        <v>182</v>
      </c>
      <c r="H21" s="84"/>
    </row>
    <row r="22">
      <c r="A22" s="82">
        <v>21.0</v>
      </c>
      <c r="B22" s="82" t="s">
        <v>206</v>
      </c>
      <c r="C22" s="82" t="s">
        <v>217</v>
      </c>
      <c r="D22" s="82" t="s">
        <v>218</v>
      </c>
      <c r="E22" s="82" t="s">
        <v>158</v>
      </c>
      <c r="F22" s="82" t="s">
        <v>219</v>
      </c>
      <c r="G22" s="82" t="s">
        <v>182</v>
      </c>
      <c r="H22" s="84"/>
    </row>
    <row r="23">
      <c r="A23" s="82">
        <v>22.0</v>
      </c>
      <c r="B23" s="82" t="s">
        <v>206</v>
      </c>
      <c r="C23" s="82" t="s">
        <v>220</v>
      </c>
      <c r="D23" s="82" t="s">
        <v>221</v>
      </c>
      <c r="E23" s="82" t="s">
        <v>171</v>
      </c>
      <c r="F23" s="82" t="s">
        <v>222</v>
      </c>
      <c r="G23" s="82" t="s">
        <v>168</v>
      </c>
      <c r="H23" s="83"/>
    </row>
    <row r="24">
      <c r="A24" s="80">
        <v>23.0</v>
      </c>
      <c r="B24" s="80" t="s">
        <v>206</v>
      </c>
      <c r="C24" s="80" t="s">
        <v>223</v>
      </c>
      <c r="D24" s="80" t="s">
        <v>224</v>
      </c>
      <c r="E24" s="80" t="s">
        <v>151</v>
      </c>
      <c r="F24" s="80" t="s">
        <v>225</v>
      </c>
      <c r="G24" s="80" t="s">
        <v>153</v>
      </c>
      <c r="H24" s="80" t="s">
        <v>186</v>
      </c>
    </row>
    <row r="25">
      <c r="A25" s="80">
        <v>24.0</v>
      </c>
      <c r="B25" s="80" t="s">
        <v>206</v>
      </c>
      <c r="C25" s="80" t="s">
        <v>226</v>
      </c>
      <c r="D25" s="80" t="s">
        <v>227</v>
      </c>
      <c r="E25" s="80" t="s">
        <v>171</v>
      </c>
      <c r="F25" s="80" t="s">
        <v>228</v>
      </c>
      <c r="G25" s="80" t="s">
        <v>153</v>
      </c>
      <c r="H25" s="80" t="s">
        <v>186</v>
      </c>
    </row>
    <row r="26">
      <c r="A26" s="80">
        <v>25.0</v>
      </c>
      <c r="B26" s="80" t="s">
        <v>206</v>
      </c>
      <c r="C26" s="80" t="s">
        <v>229</v>
      </c>
      <c r="D26" s="80" t="s">
        <v>230</v>
      </c>
      <c r="E26" s="80" t="s">
        <v>231</v>
      </c>
      <c r="F26" s="80" t="s">
        <v>232</v>
      </c>
      <c r="G26" s="80" t="s">
        <v>153</v>
      </c>
      <c r="H26" s="80" t="s">
        <v>186</v>
      </c>
    </row>
    <row r="27">
      <c r="A27" s="80">
        <v>26.0</v>
      </c>
      <c r="B27" s="80" t="s">
        <v>206</v>
      </c>
      <c r="C27" s="80" t="s">
        <v>233</v>
      </c>
      <c r="D27" s="80" t="s">
        <v>234</v>
      </c>
      <c r="E27" s="80" t="s">
        <v>151</v>
      </c>
      <c r="F27" s="80" t="s">
        <v>235</v>
      </c>
      <c r="G27" s="80" t="s">
        <v>153</v>
      </c>
      <c r="H27" s="80" t="s">
        <v>186</v>
      </c>
    </row>
    <row r="28">
      <c r="A28" s="80">
        <v>27.0</v>
      </c>
      <c r="B28" s="80" t="s">
        <v>206</v>
      </c>
      <c r="C28" s="80" t="s">
        <v>236</v>
      </c>
      <c r="D28" s="80" t="s">
        <v>237</v>
      </c>
      <c r="E28" s="80" t="s">
        <v>151</v>
      </c>
      <c r="F28" s="80" t="s">
        <v>238</v>
      </c>
      <c r="G28" s="80" t="s">
        <v>153</v>
      </c>
      <c r="H28" s="80" t="s">
        <v>186</v>
      </c>
    </row>
    <row r="29">
      <c r="A29" s="80">
        <v>28.0</v>
      </c>
      <c r="B29" s="80" t="s">
        <v>206</v>
      </c>
      <c r="C29" s="80" t="s">
        <v>239</v>
      </c>
      <c r="D29" s="80" t="s">
        <v>240</v>
      </c>
      <c r="E29" s="80" t="s">
        <v>151</v>
      </c>
      <c r="F29" s="80" t="s">
        <v>241</v>
      </c>
      <c r="G29" s="80" t="s">
        <v>153</v>
      </c>
      <c r="H29" s="80" t="s">
        <v>186</v>
      </c>
    </row>
    <row r="30">
      <c r="A30" s="82">
        <v>29.0</v>
      </c>
      <c r="B30" s="82" t="s">
        <v>242</v>
      </c>
      <c r="C30" s="82" t="s">
        <v>243</v>
      </c>
      <c r="D30" s="82" t="s">
        <v>244</v>
      </c>
      <c r="E30" s="82" t="s">
        <v>151</v>
      </c>
      <c r="F30" s="82" t="s">
        <v>245</v>
      </c>
      <c r="G30" s="82" t="s">
        <v>182</v>
      </c>
      <c r="H30" s="83"/>
    </row>
    <row r="31">
      <c r="A31" s="82">
        <v>30.0</v>
      </c>
      <c r="B31" s="82" t="s">
        <v>242</v>
      </c>
      <c r="C31" s="82" t="s">
        <v>246</v>
      </c>
      <c r="D31" s="82" t="s">
        <v>247</v>
      </c>
      <c r="E31" s="82" t="s">
        <v>231</v>
      </c>
      <c r="F31" s="82" t="s">
        <v>248</v>
      </c>
      <c r="G31" s="82" t="s">
        <v>182</v>
      </c>
      <c r="H31" s="83"/>
    </row>
    <row r="32">
      <c r="A32" s="80">
        <v>31.0</v>
      </c>
      <c r="B32" s="80" t="s">
        <v>249</v>
      </c>
      <c r="C32" s="80" t="s">
        <v>250</v>
      </c>
      <c r="D32" s="80" t="s">
        <v>251</v>
      </c>
      <c r="E32" s="80" t="s">
        <v>158</v>
      </c>
      <c r="F32" s="80" t="s">
        <v>252</v>
      </c>
      <c r="G32" s="80" t="s">
        <v>153</v>
      </c>
      <c r="H32" s="80" t="s">
        <v>253</v>
      </c>
    </row>
    <row r="33">
      <c r="A33" s="80">
        <v>32.0</v>
      </c>
      <c r="B33" s="80" t="s">
        <v>249</v>
      </c>
      <c r="C33" s="80" t="s">
        <v>254</v>
      </c>
      <c r="D33" s="80" t="s">
        <v>255</v>
      </c>
      <c r="E33" s="80" t="s">
        <v>171</v>
      </c>
      <c r="F33" s="80" t="s">
        <v>256</v>
      </c>
      <c r="G33" s="80" t="s">
        <v>153</v>
      </c>
      <c r="H33" s="80" t="s">
        <v>257</v>
      </c>
    </row>
    <row r="34">
      <c r="A34" s="82">
        <v>33.0</v>
      </c>
      <c r="B34" s="82" t="s">
        <v>249</v>
      </c>
      <c r="C34" s="82" t="s">
        <v>258</v>
      </c>
      <c r="D34" s="82" t="s">
        <v>259</v>
      </c>
      <c r="E34" s="82" t="s">
        <v>171</v>
      </c>
      <c r="F34" s="82" t="s">
        <v>260</v>
      </c>
      <c r="G34" s="82" t="s">
        <v>168</v>
      </c>
      <c r="H34" s="83"/>
    </row>
    <row r="35">
      <c r="A35" s="82">
        <v>34.0</v>
      </c>
      <c r="B35" s="82" t="s">
        <v>249</v>
      </c>
      <c r="C35" s="82" t="s">
        <v>261</v>
      </c>
      <c r="D35" s="82" t="s">
        <v>262</v>
      </c>
      <c r="E35" s="82" t="s">
        <v>171</v>
      </c>
      <c r="F35" s="82" t="s">
        <v>263</v>
      </c>
      <c r="G35" s="82" t="s">
        <v>168</v>
      </c>
      <c r="H35" s="83"/>
    </row>
    <row r="36">
      <c r="A36" s="82">
        <v>35.0</v>
      </c>
      <c r="B36" s="82" t="s">
        <v>249</v>
      </c>
      <c r="C36" s="82" t="s">
        <v>264</v>
      </c>
      <c r="D36" s="82">
        <v>3.1</v>
      </c>
      <c r="E36" s="82" t="s">
        <v>151</v>
      </c>
      <c r="F36" s="82" t="s">
        <v>265</v>
      </c>
      <c r="G36" s="82" t="s">
        <v>168</v>
      </c>
      <c r="H36" s="82"/>
    </row>
    <row r="37">
      <c r="A37" s="82">
        <v>36.0</v>
      </c>
      <c r="B37" s="82" t="s">
        <v>249</v>
      </c>
      <c r="C37" s="82" t="s">
        <v>266</v>
      </c>
      <c r="D37" s="82" t="s">
        <v>267</v>
      </c>
      <c r="E37" s="82" t="s">
        <v>268</v>
      </c>
      <c r="F37" s="82" t="s">
        <v>269</v>
      </c>
      <c r="G37" s="82" t="s">
        <v>168</v>
      </c>
      <c r="H37" s="83"/>
    </row>
    <row r="38">
      <c r="A38" s="82">
        <v>37.0</v>
      </c>
      <c r="B38" s="82" t="s">
        <v>270</v>
      </c>
      <c r="C38" s="82" t="s">
        <v>271</v>
      </c>
      <c r="D38" s="82" t="s">
        <v>272</v>
      </c>
      <c r="E38" s="82" t="s">
        <v>273</v>
      </c>
      <c r="F38" s="82" t="s">
        <v>274</v>
      </c>
      <c r="G38" s="82" t="s">
        <v>168</v>
      </c>
      <c r="H38" s="83"/>
    </row>
    <row r="39">
      <c r="A39" s="82">
        <v>38.0</v>
      </c>
      <c r="B39" s="82" t="s">
        <v>270</v>
      </c>
      <c r="C39" s="82" t="s">
        <v>275</v>
      </c>
      <c r="D39" s="82" t="s">
        <v>276</v>
      </c>
      <c r="E39" s="82" t="s">
        <v>151</v>
      </c>
      <c r="F39" s="82" t="s">
        <v>277</v>
      </c>
      <c r="G39" s="82" t="s">
        <v>168</v>
      </c>
      <c r="H39" s="83"/>
    </row>
    <row r="40">
      <c r="A40" s="82">
        <v>39.0</v>
      </c>
      <c r="B40" s="82" t="s">
        <v>270</v>
      </c>
      <c r="C40" s="82" t="s">
        <v>278</v>
      </c>
      <c r="D40" s="82" t="s">
        <v>279</v>
      </c>
      <c r="E40" s="82" t="s">
        <v>280</v>
      </c>
      <c r="F40" s="82" t="s">
        <v>281</v>
      </c>
      <c r="G40" s="82" t="s">
        <v>182</v>
      </c>
      <c r="H40" s="83"/>
    </row>
    <row r="41">
      <c r="A41" s="82">
        <v>40.0</v>
      </c>
      <c r="B41" s="82" t="s">
        <v>270</v>
      </c>
      <c r="C41" s="82" t="s">
        <v>282</v>
      </c>
      <c r="D41" s="82" t="s">
        <v>240</v>
      </c>
      <c r="E41" s="82" t="s">
        <v>158</v>
      </c>
      <c r="F41" s="82" t="s">
        <v>283</v>
      </c>
      <c r="G41" s="82" t="s">
        <v>182</v>
      </c>
      <c r="H41" s="83"/>
    </row>
    <row r="42">
      <c r="A42" s="82">
        <v>41.0</v>
      </c>
      <c r="B42" s="82" t="s">
        <v>270</v>
      </c>
      <c r="C42" s="82" t="s">
        <v>284</v>
      </c>
      <c r="D42" s="82" t="s">
        <v>285</v>
      </c>
      <c r="E42" s="82" t="s">
        <v>158</v>
      </c>
      <c r="F42" s="82" t="s">
        <v>286</v>
      </c>
      <c r="G42" s="82" t="s">
        <v>182</v>
      </c>
      <c r="H42" s="83"/>
    </row>
    <row r="43">
      <c r="A43" s="82">
        <v>42.0</v>
      </c>
      <c r="B43" s="82" t="s">
        <v>270</v>
      </c>
      <c r="C43" s="82" t="s">
        <v>287</v>
      </c>
      <c r="D43" s="82" t="s">
        <v>288</v>
      </c>
      <c r="E43" s="82" t="s">
        <v>289</v>
      </c>
      <c r="F43" s="82" t="s">
        <v>290</v>
      </c>
      <c r="G43" s="82" t="s">
        <v>168</v>
      </c>
      <c r="H43" s="82" t="s">
        <v>291</v>
      </c>
    </row>
    <row r="44">
      <c r="A44" s="3"/>
      <c r="B44" s="2"/>
      <c r="C44" s="3"/>
      <c r="D44" s="3"/>
      <c r="E44" s="3"/>
      <c r="F44" s="3"/>
      <c r="G44" s="3"/>
      <c r="H44" s="3"/>
    </row>
    <row r="45">
      <c r="A45" s="3"/>
      <c r="B45" s="2"/>
      <c r="C45" s="3"/>
      <c r="D45" s="3"/>
      <c r="E45" s="3"/>
      <c r="F45" s="3"/>
      <c r="G45" s="3"/>
      <c r="H45"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5" t="str">
        <f>'Project Team'!A1</f>
        <v>Last Name</v>
      </c>
      <c r="B1" s="85" t="str">
        <f>'Project Team'!B1</f>
        <v>First Name</v>
      </c>
      <c r="C1" s="86" t="s">
        <v>292</v>
      </c>
      <c r="D1" s="87"/>
      <c r="E1" s="88"/>
      <c r="F1" s="89"/>
      <c r="G1" s="90"/>
      <c r="H1" s="90"/>
    </row>
    <row r="2">
      <c r="A2" s="91" t="str">
        <f>'Project Team'!A2</f>
        <v>Hilgers</v>
      </c>
      <c r="B2" s="91" t="str">
        <f>'Project Team'!B2</f>
        <v>Felix</v>
      </c>
      <c r="C2" s="92"/>
      <c r="D2" s="93"/>
      <c r="E2" s="94" t="str">
        <f>average(C2:C9)</f>
        <v>#DIV/0!</v>
      </c>
      <c r="F2" s="95" t="str">
        <f>if(stdev(C2:C7) &gt; 0,"NOK", "OK")</f>
        <v>#DIV/0!</v>
      </c>
      <c r="G2" s="96"/>
      <c r="H2" s="96"/>
    </row>
    <row r="3">
      <c r="A3" s="97"/>
      <c r="B3" s="97"/>
      <c r="C3" s="92"/>
      <c r="D3" s="98"/>
      <c r="G3" s="99"/>
      <c r="H3" s="99"/>
    </row>
    <row r="4">
      <c r="A4" s="91" t="str">
        <f>'Project Team'!A3</f>
        <v>Samdani</v>
      </c>
      <c r="B4" s="91" t="str">
        <f>'Project Team'!B3</f>
        <v>Sarib</v>
      </c>
      <c r="C4" s="92"/>
      <c r="D4" s="93"/>
      <c r="G4" s="96"/>
      <c r="H4" s="96"/>
    </row>
    <row r="5">
      <c r="A5" s="97" t="str">
        <f>'Project Team'!A4</f>
        <v>Chinbat</v>
      </c>
      <c r="B5" s="97" t="str">
        <f>'Project Team'!B4</f>
        <v>Anuun</v>
      </c>
      <c r="C5" s="92"/>
      <c r="D5" s="100"/>
      <c r="E5" s="100"/>
      <c r="F5" s="100"/>
      <c r="G5" s="99"/>
      <c r="H5" s="99"/>
    </row>
    <row r="6">
      <c r="A6" s="91" t="str">
        <f>'Project Team'!A7</f>
        <v>Badura</v>
      </c>
      <c r="B6" s="91" t="str">
        <f>'Project Team'!B7</f>
        <v>Emil</v>
      </c>
      <c r="C6" s="92"/>
      <c r="D6" s="101"/>
      <c r="E6" s="102">
        <v>0.0</v>
      </c>
      <c r="F6" s="103" t="s">
        <v>293</v>
      </c>
      <c r="G6" s="96"/>
      <c r="H6" s="96"/>
    </row>
    <row r="7">
      <c r="A7" s="97" t="str">
        <f>'Project Team'!A8</f>
        <v>Assenbaum</v>
      </c>
      <c r="B7" s="97" t="str">
        <f>'Project Team'!B8</f>
        <v>Paul</v>
      </c>
      <c r="C7" s="92"/>
      <c r="D7" s="100"/>
      <c r="E7" s="102">
        <v>1.0</v>
      </c>
      <c r="F7" s="103" t="s">
        <v>294</v>
      </c>
      <c r="G7" s="99"/>
      <c r="H7" s="99"/>
    </row>
    <row r="8">
      <c r="A8" s="91" t="str">
        <f>'Project Team'!A9</f>
        <v>Mantsch</v>
      </c>
      <c r="B8" s="91" t="str">
        <f>'Project Team'!B9</f>
        <v>Christoph</v>
      </c>
      <c r="C8" s="92"/>
      <c r="D8" s="101"/>
      <c r="E8" s="102">
        <v>2.0</v>
      </c>
      <c r="F8" s="103" t="s">
        <v>295</v>
      </c>
      <c r="G8" s="96"/>
      <c r="H8" s="96"/>
    </row>
    <row r="9">
      <c r="A9" s="104" t="s">
        <v>60</v>
      </c>
      <c r="B9" s="104" t="s">
        <v>61</v>
      </c>
      <c r="C9" s="92"/>
      <c r="D9" s="100"/>
      <c r="E9" s="102">
        <v>3.0</v>
      </c>
      <c r="F9" s="103" t="s">
        <v>296</v>
      </c>
      <c r="G9" s="99"/>
      <c r="H9" s="99"/>
    </row>
    <row r="10">
      <c r="C10" s="105"/>
      <c r="D10" s="101"/>
      <c r="E10" s="102">
        <v>5.0</v>
      </c>
      <c r="F10" s="103" t="s">
        <v>297</v>
      </c>
      <c r="G10" s="96"/>
      <c r="H10" s="96"/>
    </row>
    <row r="11">
      <c r="A11" s="91" t="str">
        <f>'Project Team'!A5</f>
        <v>Goldschmidt</v>
      </c>
      <c r="B11" s="91" t="str">
        <f>'Project Team'!B5</f>
        <v>Georgina</v>
      </c>
      <c r="C11" s="92"/>
      <c r="D11" s="100"/>
      <c r="E11" s="102">
        <v>8.0</v>
      </c>
      <c r="F11" s="103" t="s">
        <v>298</v>
      </c>
      <c r="G11" s="99"/>
      <c r="H11" s="99"/>
    </row>
    <row r="12">
      <c r="A12" s="97" t="str">
        <f>'Project Team'!A6</f>
        <v>Zinn</v>
      </c>
      <c r="B12" s="97" t="str">
        <f>'Project Team'!B6</f>
        <v>Benedikt</v>
      </c>
      <c r="C12" s="106"/>
      <c r="D12" s="101"/>
      <c r="E12" s="102">
        <v>13.0</v>
      </c>
      <c r="F12" s="103" t="s">
        <v>299</v>
      </c>
      <c r="G12" s="96"/>
      <c r="H12" s="96"/>
    </row>
    <row r="13">
      <c r="C13" s="100"/>
      <c r="D13" s="100"/>
      <c r="E13" s="100"/>
      <c r="F13" s="100"/>
      <c r="G13" s="99"/>
      <c r="H13" s="99"/>
    </row>
    <row r="14">
      <c r="A14" s="107" t="s">
        <v>300</v>
      </c>
      <c r="B14" s="108"/>
      <c r="C14" s="108"/>
      <c r="D14" s="108"/>
      <c r="E14" s="108"/>
      <c r="F14" s="108"/>
      <c r="G14" s="108"/>
      <c r="H14" s="108"/>
    </row>
    <row r="15">
      <c r="A15" s="109"/>
      <c r="B15" s="109"/>
      <c r="C15" s="109"/>
      <c r="D15" s="109"/>
      <c r="E15" s="109"/>
      <c r="F15" s="109"/>
      <c r="G15" s="109"/>
      <c r="H15" s="109"/>
    </row>
    <row r="16">
      <c r="A16" s="110" t="s">
        <v>301</v>
      </c>
      <c r="B16" s="111"/>
      <c r="C16" s="111"/>
      <c r="D16" s="111"/>
      <c r="E16" s="111"/>
      <c r="F16" s="111"/>
      <c r="G16" s="111"/>
      <c r="H16" s="111"/>
    </row>
    <row r="17">
      <c r="A17" s="112" t="s">
        <v>302</v>
      </c>
      <c r="B17" s="109"/>
      <c r="C17" s="109"/>
      <c r="D17" s="109"/>
      <c r="E17" s="109"/>
      <c r="F17" s="109"/>
      <c r="G17" s="109"/>
      <c r="H17" s="109"/>
    </row>
    <row r="18">
      <c r="A18" s="110" t="s">
        <v>303</v>
      </c>
      <c r="B18" s="111"/>
      <c r="C18" s="111"/>
      <c r="D18" s="111"/>
      <c r="E18" s="111"/>
      <c r="F18" s="111"/>
      <c r="G18" s="111"/>
      <c r="H18" s="111"/>
    </row>
    <row r="19">
      <c r="A19" s="109"/>
      <c r="B19" s="109"/>
      <c r="C19" s="109"/>
      <c r="D19" s="109"/>
      <c r="E19" s="109"/>
      <c r="F19" s="109"/>
      <c r="G19" s="113" t="s">
        <v>304</v>
      </c>
      <c r="H19" s="109"/>
    </row>
    <row r="20">
      <c r="A20" s="111"/>
      <c r="B20" s="111"/>
      <c r="C20" s="111"/>
      <c r="D20" s="111"/>
      <c r="E20" s="111"/>
      <c r="F20" s="111"/>
      <c r="G20" s="111"/>
      <c r="H20" s="11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