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Chart" sheetId="11" r:id="rId13"/>
    <sheet state="visible" name="Final Project Release plan" sheetId="12" r:id="rId14"/>
    <sheet state="visible" name="Final Project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definedName name="Average">'Velocity Tracking'!$B$17</definedName>
  </definedNames>
  <calcPr/>
</workbook>
</file>

<file path=xl/sharedStrings.xml><?xml version="1.0" encoding="utf-8"?>
<sst xmlns="http://schemas.openxmlformats.org/spreadsheetml/2006/main" count="463" uniqueCount="297">
  <si>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</si>
  <si>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</si>
  <si>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</si>
  <si>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</si>
  <si>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</si>
  <si>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</si>
  <si>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</si>
  <si>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</si>
  <si>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</si>
  <si>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</si>
  <si>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</si>
  <si>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</si>
  <si>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</si>
  <si>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</si>
  <si>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</si>
  <si>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</si>
  <si>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</si>
  <si>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</si>
  <si>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</si>
  <si>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</si>
  <si>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</si>
  <si>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</si>
  <si>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</si>
  <si>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</si>
  <si>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</si>
  <si>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</si>
  <si>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</si>
  <si>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</si>
  <si>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</si>
  <si>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</si>
  <si>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</si>
  <si>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</si>
  <si>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</si>
  <si>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</si>
  <si>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</si>
  <si>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</si>
  <si>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</si>
  <si>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</si>
  <si>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</si>
  <si>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</si>
  <si>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</si>
  <si>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</si>
  <si>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</si>
  <si>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</si>
  <si>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</si>
  <si>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</si>
  <si>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</si>
  <si>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</si>
  <si>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</si>
  <si>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</si>
  <si>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</si>
  <si>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</si>
  <si>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</si>
  <si>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</si>
  <si>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</si>
  <si>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</si>
  <si>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</si>
  <si>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</si>
  <si>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</si>
  <si>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</si>
  <si>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</si>
  <si>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</si>
  <si>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</si>
  <si>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</si>
  <si>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</si>
  <si>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</si>
  <si>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</si>
  <si>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</si>
  <si>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</si>
  <si>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</si>
  <si>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</si>
  <si>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</si>
  <si>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</si>
  <si>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</si>
  <si>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</si>
  <si>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</si>
  <si>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</si>
  <si>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</si>
  <si>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</si>
  <si>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</si>
  <si>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</si>
  <si>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</si>
  <si>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</si>
  <si>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</si>
  <si>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</si>
  <si>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</si>
  <si>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</si>
  <si>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</si>
  <si>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</si>
  <si>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</si>
  <si>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</si>
  <si>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</si>
  <si>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</si>
  <si>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</si>
  <si>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</si>
  <si>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</si>
  <si>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</si>
  <si>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</si>
  <si>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</si>
  <si>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</si>
  <si>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</si>
  <si>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</si>
  <si>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</si>
  <si>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</si>
  <si>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</si>
  <si>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</si>
  <si>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</si>
  <si>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</si>
  <si>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</si>
  <si>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</si>
  <si>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</si>
  <si>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</si>
  <si>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</si>
  <si>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</si>
  <si>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</si>
  <si>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</si>
  <si>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</si>
  <si>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</si>
  <si>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</si>
  <si>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</si>
  <si>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</si>
  <si>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Refining the overall look and feel</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</si>
  <si>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</si>
  <si>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</si>
  <si>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</si>
  <si>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</si>
  <si>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</si>
  <si>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</si>
  <si>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</si>
  <si>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</si>
  <si>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</si>
  <si>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</si>
  <si>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</si>
  <si>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</si>
  <si>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</si>
  <si>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</si>
  <si>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</si>
  <si>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</si>
  <si>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</si>
  <si>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</si>
  <si>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</si>
  <si>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</si>
  <si>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</si>
  <si>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</si>
  <si>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</si>
  <si>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</si>
  <si>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</si>
  <si>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</si>
  <si>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</si>
  <si>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</si>
  <si>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</si>
  <si>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</si>
  <si>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</si>
  <si>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</si>
  <si>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</si>
  <si>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</si>
  <si>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</si>
  <si>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</si>
  <si>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</si>
  <si>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</si>
  <si>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</si>
  <si>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</si>
  <si>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Setup and Test analyzing with Cuda and Rocm</t>
  </si>
  <si>
    <t>Properly use CSS</t>
  </si>
  <si>
    <t>Reduce Initial Connection Time</t>
  </si>
  <si>
    <t>Automate SBOM Generation</t>
  </si>
  <si>
    <t>Setup Docker Compose</t>
  </si>
  <si>
    <t>Separate Model Downloading from Running</t>
  </si>
  <si>
    <t>Document Analyzer Endpoint</t>
  </si>
  <si>
    <t>Extensible Object Analysis</t>
  </si>
  <si>
    <t>Send Object Location (x, y, z) relative to Camera</t>
  </si>
  <si>
    <t>Keep Metadata in Sync</t>
  </si>
  <si>
    <t>Move to pyproject.toml</t>
  </si>
  <si>
    <t>Reduce Container Size</t>
  </si>
  <si>
    <t>Standalone Model Downloading</t>
  </si>
  <si>
    <t>React Metadata Widget</t>
  </si>
  <si>
    <t>Reduce Inference Time</t>
  </si>
  <si>
    <t>Separate Model Loading</t>
  </si>
  <si>
    <t>Transported Metadata Usage</t>
  </si>
  <si>
    <t>Feature Definition of Done</t>
  </si>
  <si>
    <t>Sprint Release Definition of Done</t>
  </si>
  <si>
    <t>Project Release Definition of Done</t>
  </si>
  <si>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</si>
  <si>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</si>
  <si>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</si>
  <si>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</si>
  <si>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</si>
  <si>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</si>
  <si>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</si>
  <si>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</si>
  <si>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</si>
  <si>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</si>
  <si>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</si>
  <si>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</si>
  <si>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</si>
  <si>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</si>
  <si>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</si>
  <si>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</si>
  <si>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</si>
  <si>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</si>
  <si>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</si>
  <si>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</si>
  <si>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</si>
  <si>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</si>
  <si>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</si>
  <si>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</si>
  <si>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</si>
  <si>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</si>
  <si>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</si>
  <si>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</si>
  <si>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</si>
  <si>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</si>
  <si>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</si>
  <si>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</si>
  <si>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</si>
  <si>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</si>
  <si>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</si>
  <si>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</si>
  <si>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</si>
  <si>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</si>
  <si>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pypi:onnxruntime</t>
  </si>
  <si>
    <t>1.20.1</t>
  </si>
  <si>
    <t>MIT License</t>
  </si>
  <si>
    <t>pypi:onnxruntime-gpu</t>
  </si>
  <si>
    <t>1.23.2</t>
  </si>
  <si>
    <t>pypi:opencv-python</t>
  </si>
  <si>
    <t>4.9.0.80</t>
  </si>
  <si>
    <t>Apache 2.0</t>
  </si>
  <si>
    <t>pypi:pydantic</t>
  </si>
  <si>
    <t>2.12.3</t>
  </si>
  <si>
    <t>pypi:timm</t>
  </si>
  <si>
    <t>1.0.22</t>
  </si>
  <si>
    <t>Apache-2.0</t>
  </si>
  <si>
    <t>pypi:ultralytics</t>
  </si>
  <si>
    <t>8.3.58</t>
  </si>
  <si>
    <t>AGPL-3.0</t>
  </si>
  <si>
    <t>pypi:uvicorn</t>
  </si>
  <si>
    <t>0.38.0</t>
  </si>
  <si>
    <t>pypi:websockets</t>
  </si>
  <si>
    <t>15.0.1</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</si>
  <si>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</si>
  <si>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</si>
  <si>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</si>
  <si>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</si>
  <si>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</si>
  <si>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</si>
  <si>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</si>
  <si>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</si>
  <si>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</si>
  <si>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</si>
  <si>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</si>
  <si>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</si>
  <si>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</si>
  <si>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</si>
  <si>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</si>
  <si>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</si>
  <si>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pypi:onnx</t>
  </si>
  <si>
    <t>1.19.1</t>
  </si>
  <si>
    <t>Apache License v2.0</t>
  </si>
  <si>
    <t>pypi:onnxscript</t>
  </si>
  <si>
    <t>0.5.6</t>
  </si>
  <si>
    <t>pypi:onnxslim</t>
  </si>
  <si>
    <t>0.1.75</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</si>
  <si>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</si>
  <si>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</si>
  <si>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</si>
  <si>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</si>
  <si>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</si>
  <si>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</si>
  <si>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</si>
  <si>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</si>
  <si>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</si>
  <si>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</si>
  <si>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</si>
  <si>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</si>
  <si>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</si>
  <si>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</si>
  <si>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</si>
  <si>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</si>
  <si>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</si>
  <si>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</si>
  <si>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</si>
  <si>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</si>
  <si>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</si>
  <si>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</si>
  <si>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</si>
  <si>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</si>
  <si>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</si>
  <si>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</si>
  <si>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</si>
  <si>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</si>
  <si>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</si>
  <si>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</si>
  <si>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</si>
  <si>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</si>
  <si>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</si>
  <si>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no cap yet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</si>
</sst>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6"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7" numFmtId="0" xfId="0" applyAlignment="1" applyFill="1" applyFont="1">
      <alignment shrinkToFit="0" vertical="bottom" wrapText="1"/>
    </xf>
    <xf borderId="0" fillId="3"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3" fontId="7" numFmtId="0" xfId="0" applyAlignment="1" applyFont="1">
      <alignment readingOrder="0" shrinkToFit="0" vertical="bottom" wrapText="1"/>
    </xf>
    <xf borderId="0" fillId="3" fontId="8" numFmtId="0" xfId="0" applyAlignment="1" applyFont="1">
      <alignment shrinkToFit="0" vertical="bottom" wrapText="1"/>
    </xf>
    <xf borderId="0" fillId="3" fontId="7"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readingOrder="0" shrinkToFit="0" wrapText="1"/>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0"/>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3" fontId="8" numFmtId="0" xfId="0" applyAlignment="1" applyFont="1">
      <alignment horizontal="left" shrinkToFit="0" vertical="bottom" wrapText="1"/>
    </xf>
    <xf borderId="0" fillId="3" fontId="8" numFmtId="0" xfId="0" applyAlignment="1" applyFont="1">
      <alignment shrinkToFit="0" vertical="bottom" wrapText="0"/>
    </xf>
    <xf borderId="0" fillId="6" fontId="7" numFmtId="0" xfId="0" applyAlignment="1" applyFill="1" applyFont="1">
      <alignment horizontal="left" shrinkToFit="0" vertical="bottom" wrapText="0"/>
    </xf>
    <xf borderId="0" fillId="6" fontId="8" numFmtId="0" xfId="0" applyAlignment="1" applyFont="1">
      <alignment shrinkToFit="0" vertical="bottom" wrapText="0"/>
    </xf>
    <xf borderId="0" fillId="6" fontId="8" numFmtId="0" xfId="0" applyAlignment="1" applyFont="1">
      <alignment shrinkToFit="0" vertical="bottom" wrapText="1"/>
    </xf>
    <xf borderId="0" fillId="0" fontId="8" numFmtId="0" xfId="0" applyAlignment="1" applyFont="1">
      <alignment horizontal="left" shrinkToFit="0" vertical="bottom" wrapText="1"/>
    </xf>
    <xf borderId="0" fillId="0" fontId="8" numFmtId="0" xfId="0" applyAlignment="1" applyFont="1">
      <alignment shrinkToFit="0" vertical="bottom" wrapText="0"/>
    </xf>
    <xf borderId="0" fillId="0" fontId="8" numFmtId="0" xfId="0" applyAlignment="1" applyFont="1">
      <alignment shrinkToFit="0" vertical="bottom" wrapText="1"/>
    </xf>
    <xf borderId="0" fillId="0" fontId="7" numFmtId="0" xfId="0" applyAlignment="1" applyFont="1">
      <alignment shrinkToFit="0" vertical="bottom" wrapText="0"/>
    </xf>
    <xf borderId="0" fillId="0" fontId="2" numFmtId="0" xfId="0" applyAlignment="1" applyFont="1">
      <alignment shrinkToFit="0" wrapText="0"/>
    </xf>
    <xf borderId="0" fillId="0" fontId="8"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0"/>
    </xf>
    <xf borderId="0" fillId="7" fontId="8" numFmtId="0" xfId="0" applyAlignment="1" applyFont="1">
      <alignment shrinkToFit="0" vertical="bottom" wrapText="1"/>
    </xf>
    <xf borderId="0" fillId="0" fontId="9" numFmtId="0" xfId="0" applyAlignment="1" applyFont="1">
      <alignment horizontal="center" shrinkToFit="0" vertical="bottom" wrapText="0"/>
    </xf>
    <xf borderId="0" fillId="0" fontId="8" numFmtId="0" xfId="0" applyAlignment="1" applyFont="1">
      <alignment horizontal="left" shrinkToFit="0" vertical="bottom" wrapText="1"/>
    </xf>
    <xf borderId="0" fillId="0" fontId="7" numFmtId="0" xfId="0" applyAlignment="1" applyFont="1">
      <alignment readingOrder="0" shrinkToFit="0" vertical="bottom" wrapText="0"/>
    </xf>
    <xf borderId="0" fillId="8" fontId="7" numFmtId="0" xfId="0" applyAlignment="1" applyFill="1" applyFont="1">
      <alignment horizontal="left" shrinkToFit="0" vertical="bottom" wrapText="0"/>
    </xf>
    <xf borderId="0" fillId="8" fontId="7" numFmtId="0" xfId="0" applyAlignment="1" applyFont="1">
      <alignment shrinkToFit="0" vertical="bottom" wrapText="0"/>
    </xf>
    <xf borderId="0" fillId="8" fontId="8" numFmtId="0" xfId="0" applyAlignment="1" applyFont="1">
      <alignment shrinkToFit="0" vertical="bottom" wrapText="1"/>
    </xf>
    <xf borderId="0" fillId="0" fontId="7" numFmtId="0" xfId="0" applyAlignment="1" applyFont="1">
      <alignment horizontal="lef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0" fontId="2" numFmtId="0" xfId="0" applyAlignment="1" applyFont="1">
      <alignment readingOrder="0" shrinkToFit="0" wrapText="0"/>
    </xf>
    <xf borderId="0" fillId="0" fontId="8" numFmtId="0" xfId="0" applyAlignment="1" applyFont="1">
      <alignment horizontal="left" readingOrder="0" shrinkToFit="0" vertical="bottom" wrapText="1"/>
    </xf>
    <xf borderId="0" fillId="3" fontId="8" numFmtId="0" xfId="0" applyAlignment="1" applyFont="1">
      <alignment horizontal="left" shrinkToFit="0" vertical="bottom" wrapText="1"/>
    </xf>
    <xf borderId="0" fillId="2" fontId="7" numFmtId="0" xfId="0" applyAlignment="1" applyFont="1">
      <alignment shrinkToFit="0" vertical="bottom" wrapText="1"/>
    </xf>
    <xf borderId="0" fillId="2" fontId="7" numFmtId="0" xfId="0" applyAlignment="1" applyFont="1">
      <alignment readingOrder="0" shrinkToFit="0" vertical="bottom" wrapText="0"/>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8" numFmtId="4" xfId="0" applyAlignment="1" applyFont="1" applyNumberFormat="1">
      <alignment shrinkToFit="0" vertical="center" wrapText="1"/>
    </xf>
    <xf borderId="0" fillId="2" fontId="8" numFmtId="0" xfId="0" applyAlignment="1" applyFont="1">
      <alignment shrinkToFit="0" vertical="center" wrapText="1"/>
    </xf>
    <xf borderId="0" fillId="2" fontId="1" numFmtId="0" xfId="0" applyAlignment="1" applyFont="1">
      <alignment shrinkToFit="0" vertical="center" wrapText="1"/>
    </xf>
    <xf borderId="0" fillId="3" fontId="8" numFmtId="0" xfId="0" applyAlignment="1" applyFont="1">
      <alignment horizontal="center" readingOrder="0" shrinkToFit="0" vertical="center" wrapText="1"/>
    </xf>
    <xf borderId="0" fillId="3" fontId="8"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3" fontId="2" numFmtId="0" xfId="0" applyAlignment="1" applyFont="1">
      <alignment shrinkToFit="0" vertical="center" wrapText="1"/>
    </xf>
    <xf borderId="0" fillId="4" fontId="7" numFmtId="0" xfId="0" applyAlignment="1" applyFont="1">
      <alignment shrinkToFit="0" vertical="center" wrapText="1"/>
    </xf>
    <xf borderId="0" fillId="5" fontId="8" numFmtId="0" xfId="0" applyAlignment="1" applyFont="1">
      <alignment horizontal="center" readingOrder="0"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3" fontId="7" numFmtId="0" xfId="0" applyAlignment="1" applyFont="1">
      <alignment shrinkToFit="0" vertical="center" wrapText="1"/>
    </xf>
    <xf borderId="0" fillId="4" fontId="8" numFmtId="0" xfId="0" applyAlignment="1" applyFont="1">
      <alignment shrinkToFit="0" vertical="center" wrapText="1"/>
    </xf>
    <xf borderId="0" fillId="3" fontId="8" numFmtId="0" xfId="0" applyAlignment="1" applyFont="1">
      <alignment shrinkToFit="0" vertical="center" wrapText="1"/>
    </xf>
    <xf borderId="0" fillId="7" fontId="8" numFmtId="0" xfId="0" applyAlignment="1" applyFont="1">
      <alignment horizontal="center" shrinkToFit="0" vertical="center" wrapText="1"/>
    </xf>
    <xf borderId="0" fillId="7" fontId="8" numFmtId="0" xfId="0" applyAlignment="1" applyFont="1">
      <alignment readingOrder="0" shrinkToFit="0" vertical="center" wrapText="1"/>
    </xf>
    <xf borderId="0" fillId="3" fontId="7" numFmtId="0" xfId="0" applyAlignment="1" applyFont="1">
      <alignment readingOrder="0" shrinkToFit="0" vertical="center" wrapText="1"/>
    </xf>
    <xf borderId="0" fillId="4" fontId="8" numFmtId="0" xfId="0" applyAlignment="1" applyFont="1">
      <alignment horizontal="center" readingOrder="0" shrinkToFit="0" vertical="center" wrapText="1"/>
    </xf>
    <xf borderId="0" fillId="3" fontId="8"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Mid-Project 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162291838"/>
        <c:axId val="1921452790"/>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1162291838"/>
        <c:axId val="1921452790"/>
      </c:lineChart>
      <c:catAx>
        <c:axId val="116229183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921452790"/>
      </c:catAx>
      <c:valAx>
        <c:axId val="19214527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62291838"/>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1714333228"/>
        <c:axId val="456529702"/>
      </c:barChart>
      <c:catAx>
        <c:axId val="171433322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456529702"/>
      </c:catAx>
      <c:valAx>
        <c:axId val="4565297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14333228"/>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plan'!$A$9:$A$17</c:f>
            </c:strRef>
          </c:cat>
          <c:val>
            <c:numRef>
              <c:f>'Final Project Release plan'!$E$9:$E$17</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'Final Project Release plan'!$A$9:$A$17</c:f>
            </c:strRef>
          </c:cat>
          <c:val>
            <c:numRef>
              <c:f>'Final Project Release plan'!$E$9:$E$17</c:f>
              <c:numCache/>
            </c:numRef>
          </c:val>
        </c:ser>
        <c:axId val="553633147"/>
        <c:axId val="866354366"/>
      </c:barChart>
      <c:catAx>
        <c:axId val="55363314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866354366"/>
      </c:catAx>
      <c:valAx>
        <c:axId val="8663543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53633147"/>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72725" cy="6343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Mid-Project 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86"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headerRowCount="0" ref="A1:A36" displayName="Table_11" name="Table_11" id="11">
  <tableColumns count="1">
    <tableColumn name="Column1" id="1"/>
  </tableColumns>
  <tableStyleInfo name="Final Project Burndown Char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20"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F3" displayName="Table_14" name="Table_14" id="14">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6" t="s">
        <v>9</v>
      </c>
    </row>
    <row r="9">
      <c r="A9" s="4" t="s">
        <v>10</v>
      </c>
      <c r="B9" s="6" t="s">
        <v>11</v>
      </c>
    </row>
    <row r="10">
      <c r="A10" s="4" t="s">
        <v>12</v>
      </c>
      <c r="B10" s="6" t="s">
        <v>13</v>
      </c>
    </row>
    <row r="11">
      <c r="A11" s="1"/>
      <c r="B11" s="3"/>
    </row>
    <row r="12">
      <c r="A12" s="4" t="s">
        <v>14</v>
      </c>
      <c r="B12" s="6" t="s">
        <v>15</v>
      </c>
    </row>
    <row r="13">
      <c r="A13" s="4" t="s">
        <v>16</v>
      </c>
      <c r="B13" s="6" t="s">
        <v>17</v>
      </c>
    </row>
    <row r="14">
      <c r="A14" s="1"/>
      <c r="B14" s="3"/>
    </row>
    <row r="15">
      <c r="A15" s="1" t="s">
        <v>18</v>
      </c>
      <c r="B15" s="6" t="s">
        <v>19</v>
      </c>
    </row>
    <row r="16">
      <c r="A16" s="1"/>
      <c r="B16" s="3"/>
    </row>
    <row r="17">
      <c r="A17" s="4" t="s">
        <v>20</v>
      </c>
      <c r="B17" s="2" t="s">
        <v>21</v>
      </c>
    </row>
    <row r="18">
      <c r="A18" s="1"/>
      <c r="B18" s="3"/>
    </row>
    <row r="19">
      <c r="A19" s="1"/>
      <c r="B19" s="7"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24</v>
      </c>
      <c r="B1" s="8" t="s">
        <v>25</v>
      </c>
      <c r="C1" s="8" t="s">
        <v>26</v>
      </c>
      <c r="D1" s="8" t="s">
        <v>27</v>
      </c>
    </row>
    <row r="2">
      <c r="A2" s="9" t="s">
        <v>28</v>
      </c>
      <c r="B2" s="9" t="s">
        <v>29</v>
      </c>
      <c r="C2" s="9" t="s">
        <v>30</v>
      </c>
      <c r="D2" s="9" t="s">
        <v>31</v>
      </c>
    </row>
    <row r="3">
      <c r="A3" s="9" t="s">
        <v>32</v>
      </c>
      <c r="B3" s="9" t="s">
        <v>33</v>
      </c>
      <c r="C3" s="9" t="s">
        <v>34</v>
      </c>
      <c r="D3" s="9" t="s">
        <v>35</v>
      </c>
    </row>
    <row r="4">
      <c r="A4" s="9" t="s">
        <v>36</v>
      </c>
      <c r="B4" s="9" t="s">
        <v>37</v>
      </c>
      <c r="C4" s="9" t="s">
        <v>38</v>
      </c>
      <c r="D4" s="10" t="s">
        <v>39</v>
      </c>
    </row>
    <row r="5">
      <c r="A5" s="9" t="s">
        <v>40</v>
      </c>
      <c r="B5" s="9" t="s">
        <v>41</v>
      </c>
      <c r="C5" s="9" t="s">
        <v>42</v>
      </c>
      <c r="D5" s="9" t="s">
        <v>43</v>
      </c>
    </row>
    <row r="6">
      <c r="A6" s="9" t="s">
        <v>44</v>
      </c>
      <c r="B6" s="9" t="s">
        <v>45</v>
      </c>
      <c r="C6" s="9" t="s">
        <v>46</v>
      </c>
      <c r="D6" s="9" t="s">
        <v>47</v>
      </c>
    </row>
    <row r="7">
      <c r="A7" s="9" t="s">
        <v>48</v>
      </c>
      <c r="B7" s="9" t="s">
        <v>49</v>
      </c>
      <c r="C7" s="9" t="s">
        <v>50</v>
      </c>
      <c r="D7" s="9" t="s">
        <v>51</v>
      </c>
    </row>
    <row r="8">
      <c r="A8" s="9" t="s">
        <v>52</v>
      </c>
      <c r="B8" s="9" t="s">
        <v>53</v>
      </c>
      <c r="C8" s="9" t="s">
        <v>54</v>
      </c>
      <c r="D8" s="9" t="s">
        <v>55</v>
      </c>
    </row>
    <row r="9">
      <c r="A9" s="9" t="s">
        <v>56</v>
      </c>
      <c r="B9" s="9" t="s">
        <v>57</v>
      </c>
      <c r="C9" s="9" t="s">
        <v>58</v>
      </c>
      <c r="D9" s="11" t="s">
        <v>59</v>
      </c>
    </row>
    <row r="10">
      <c r="A10" s="9" t="s">
        <v>60</v>
      </c>
      <c r="B10" s="9" t="s">
        <v>61</v>
      </c>
      <c r="C10" s="9" t="s">
        <v>62</v>
      </c>
      <c r="D10" s="9" t="s">
        <v>63</v>
      </c>
    </row>
    <row r="11">
      <c r="A11" s="12"/>
      <c r="B11" s="12"/>
      <c r="C11" s="12"/>
      <c r="D11" s="12"/>
    </row>
    <row r="12">
      <c r="A12" s="8"/>
      <c r="B12" s="13"/>
      <c r="C12" s="13"/>
      <c r="D12" s="13"/>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4"/>
      <c r="B1" s="14"/>
      <c r="C1" s="14" t="s">
        <v>64</v>
      </c>
      <c r="E1" s="14"/>
      <c r="F1" s="15"/>
      <c r="G1" s="15"/>
      <c r="H1" s="14"/>
    </row>
    <row r="2">
      <c r="A2" s="16" t="s">
        <v>65</v>
      </c>
      <c r="B2" s="16" t="s">
        <v>66</v>
      </c>
      <c r="C2" s="16" t="s">
        <v>67</v>
      </c>
      <c r="D2" s="16" t="s">
        <v>68</v>
      </c>
      <c r="E2" s="16" t="s">
        <v>69</v>
      </c>
      <c r="F2" s="17" t="s">
        <v>70</v>
      </c>
      <c r="G2" s="17" t="s">
        <v>71</v>
      </c>
      <c r="H2" s="16" t="s">
        <v>72</v>
      </c>
    </row>
    <row r="3">
      <c r="A3" s="18">
        <v>1.0</v>
      </c>
      <c r="B3" s="19">
        <v>45952.0</v>
      </c>
      <c r="C3" s="9" t="s">
        <v>73</v>
      </c>
      <c r="D3" s="9" t="s">
        <v>74</v>
      </c>
      <c r="E3" s="9" t="s">
        <v>75</v>
      </c>
      <c r="F3" s="9" t="s">
        <v>76</v>
      </c>
      <c r="G3" s="9" t="s">
        <v>77</v>
      </c>
      <c r="H3" s="20" t="s">
        <v>78</v>
      </c>
    </row>
    <row r="4">
      <c r="A4" s="18">
        <v>2.0</v>
      </c>
      <c r="B4" s="21">
        <f t="shared" ref="B4:B11" si="1">B3+7</f>
        <v>45959</v>
      </c>
      <c r="C4" s="9" t="s">
        <v>74</v>
      </c>
      <c r="D4" s="9" t="s">
        <v>73</v>
      </c>
      <c r="E4" s="9" t="s">
        <v>75</v>
      </c>
      <c r="F4" s="9" t="s">
        <v>79</v>
      </c>
      <c r="G4" s="9" t="s">
        <v>77</v>
      </c>
      <c r="H4" s="22"/>
    </row>
    <row r="5">
      <c r="A5" s="18">
        <v>3.0</v>
      </c>
      <c r="B5" s="21">
        <f t="shared" si="1"/>
        <v>45966</v>
      </c>
      <c r="C5" s="9" t="s">
        <v>74</v>
      </c>
      <c r="D5" s="9" t="s">
        <v>73</v>
      </c>
      <c r="E5" s="9" t="s">
        <v>75</v>
      </c>
      <c r="F5" s="9" t="s">
        <v>80</v>
      </c>
      <c r="G5" s="9" t="s">
        <v>77</v>
      </c>
      <c r="H5" s="22"/>
    </row>
    <row r="6">
      <c r="A6" s="18">
        <v>4.0</v>
      </c>
      <c r="B6" s="21">
        <f t="shared" si="1"/>
        <v>45973</v>
      </c>
      <c r="C6" s="9" t="s">
        <v>73</v>
      </c>
      <c r="D6" s="9" t="s">
        <v>74</v>
      </c>
      <c r="E6" s="9" t="s">
        <v>75</v>
      </c>
      <c r="F6" s="9" t="s">
        <v>80</v>
      </c>
      <c r="G6" s="9" t="s">
        <v>77</v>
      </c>
      <c r="H6" s="22"/>
    </row>
    <row r="7">
      <c r="A7" s="18">
        <v>5.0</v>
      </c>
      <c r="B7" s="21">
        <f t="shared" si="1"/>
        <v>45980</v>
      </c>
      <c r="C7" s="9" t="s">
        <v>73</v>
      </c>
      <c r="D7" s="9" t="s">
        <v>74</v>
      </c>
      <c r="E7" s="9" t="s">
        <v>75</v>
      </c>
      <c r="F7" s="9" t="s">
        <v>79</v>
      </c>
      <c r="G7" s="9" t="s">
        <v>77</v>
      </c>
      <c r="H7" s="22"/>
    </row>
    <row r="8">
      <c r="A8" s="18">
        <v>6.0</v>
      </c>
      <c r="B8" s="21">
        <f t="shared" si="1"/>
        <v>45987</v>
      </c>
      <c r="C8" s="9" t="s">
        <v>74</v>
      </c>
      <c r="D8" s="9" t="s">
        <v>73</v>
      </c>
      <c r="E8" s="9" t="s">
        <v>75</v>
      </c>
      <c r="F8" s="9" t="s">
        <v>81</v>
      </c>
      <c r="G8" s="9" t="s">
        <v>77</v>
      </c>
      <c r="H8" s="22"/>
    </row>
    <row r="9">
      <c r="A9" s="18">
        <v>7.0</v>
      </c>
      <c r="B9" s="21">
        <f t="shared" si="1"/>
        <v>45994</v>
      </c>
      <c r="C9" s="9" t="s">
        <v>73</v>
      </c>
      <c r="D9" s="9" t="s">
        <v>74</v>
      </c>
      <c r="E9" s="9" t="s">
        <v>75</v>
      </c>
      <c r="F9" s="9" t="s">
        <v>81</v>
      </c>
      <c r="G9" s="9" t="s">
        <v>77</v>
      </c>
      <c r="H9" s="20"/>
    </row>
    <row r="10">
      <c r="A10" s="18">
        <v>8.0</v>
      </c>
      <c r="B10" s="21">
        <f t="shared" si="1"/>
        <v>46001</v>
      </c>
      <c r="C10" s="9" t="s">
        <v>74</v>
      </c>
      <c r="D10" s="9" t="s">
        <v>73</v>
      </c>
      <c r="E10" s="9" t="s">
        <v>75</v>
      </c>
      <c r="F10" s="9" t="s">
        <v>76</v>
      </c>
      <c r="G10" s="9" t="s">
        <v>77</v>
      </c>
      <c r="H10" s="22"/>
    </row>
    <row r="11">
      <c r="A11" s="18">
        <v>9.0</v>
      </c>
      <c r="B11" s="21">
        <f t="shared" si="1"/>
        <v>46008</v>
      </c>
      <c r="C11" s="9" t="s">
        <v>73</v>
      </c>
      <c r="D11" s="9" t="s">
        <v>74</v>
      </c>
      <c r="E11" s="9" t="s">
        <v>75</v>
      </c>
      <c r="F11" s="9" t="s">
        <v>82</v>
      </c>
      <c r="G11" s="9" t="s">
        <v>77</v>
      </c>
      <c r="H11" s="22"/>
    </row>
    <row r="12">
      <c r="A12" s="18">
        <v>10.0</v>
      </c>
      <c r="B12" s="19">
        <v>44937.0</v>
      </c>
      <c r="C12" s="9" t="s">
        <v>74</v>
      </c>
      <c r="D12" s="9" t="s">
        <v>73</v>
      </c>
      <c r="E12" s="9" t="s">
        <v>75</v>
      </c>
      <c r="F12" s="9" t="s">
        <v>82</v>
      </c>
      <c r="G12" s="9" t="s">
        <v>77</v>
      </c>
      <c r="H12" s="22"/>
    </row>
    <row r="13">
      <c r="A13" s="18">
        <v>11.0</v>
      </c>
      <c r="B13" s="21">
        <f t="shared" ref="B13:B17" si="2">B12+7</f>
        <v>44944</v>
      </c>
      <c r="C13" s="9" t="s">
        <v>73</v>
      </c>
      <c r="D13" s="9" t="s">
        <v>74</v>
      </c>
      <c r="E13" s="9" t="s">
        <v>75</v>
      </c>
      <c r="F13" s="9" t="s">
        <v>83</v>
      </c>
      <c r="G13" s="9" t="s">
        <v>77</v>
      </c>
      <c r="H13" s="22"/>
    </row>
    <row r="14">
      <c r="A14" s="18">
        <v>12.0</v>
      </c>
      <c r="B14" s="21">
        <f t="shared" si="2"/>
        <v>44951</v>
      </c>
      <c r="C14" s="9" t="s">
        <v>74</v>
      </c>
      <c r="D14" s="9" t="s">
        <v>73</v>
      </c>
      <c r="E14" s="9" t="s">
        <v>75</v>
      </c>
      <c r="F14" s="9" t="s">
        <v>83</v>
      </c>
      <c r="G14" s="9" t="s">
        <v>77</v>
      </c>
      <c r="H14" s="22"/>
    </row>
    <row r="15">
      <c r="A15" s="18">
        <v>13.0</v>
      </c>
      <c r="B15" s="21">
        <f t="shared" si="2"/>
        <v>44958</v>
      </c>
      <c r="C15" s="9" t="s">
        <v>73</v>
      </c>
      <c r="D15" s="9" t="s">
        <v>74</v>
      </c>
      <c r="E15" s="9" t="s">
        <v>75</v>
      </c>
      <c r="F15" s="12"/>
      <c r="G15" s="9" t="s">
        <v>77</v>
      </c>
      <c r="H15" s="22"/>
    </row>
    <row r="16">
      <c r="A16" s="18">
        <v>14.0</v>
      </c>
      <c r="B16" s="21">
        <f t="shared" si="2"/>
        <v>44965</v>
      </c>
      <c r="C16" s="9" t="s">
        <v>74</v>
      </c>
      <c r="D16" s="9" t="s">
        <v>73</v>
      </c>
      <c r="E16" s="9" t="s">
        <v>75</v>
      </c>
      <c r="F16" s="12"/>
      <c r="G16" s="9" t="s">
        <v>77</v>
      </c>
      <c r="H16" s="20" t="s">
        <v>84</v>
      </c>
    </row>
    <row r="17">
      <c r="A17" s="18">
        <v>15.0</v>
      </c>
      <c r="B17" s="21">
        <f t="shared" si="2"/>
        <v>44972</v>
      </c>
      <c r="C17" s="9" t="s">
        <v>73</v>
      </c>
      <c r="D17" s="9" t="s">
        <v>74</v>
      </c>
      <c r="E17" s="9" t="s">
        <v>75</v>
      </c>
      <c r="F17" s="12"/>
      <c r="G17" s="9" t="s">
        <v>77</v>
      </c>
      <c r="H17" s="20" t="s">
        <v>85</v>
      </c>
    </row>
    <row r="18">
      <c r="A18" s="18"/>
      <c r="B18" s="23"/>
      <c r="C18" s="12"/>
      <c r="D18" s="12"/>
      <c r="E18" s="12"/>
      <c r="F18" s="12"/>
      <c r="G18" s="12"/>
      <c r="H18" s="24"/>
    </row>
    <row r="19">
      <c r="A19" s="20"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0"/>
    </row>
    <row r="5">
      <c r="A5" s="31" t="s">
        <v>91</v>
      </c>
      <c r="B5" s="28" t="s">
        <v>92</v>
      </c>
    </row>
    <row r="6">
      <c r="A6" s="29"/>
      <c r="B6" s="30"/>
    </row>
    <row r="7">
      <c r="A7" s="31" t="s">
        <v>93</v>
      </c>
      <c r="B7" s="28" t="s">
        <v>94</v>
      </c>
    </row>
    <row r="8">
      <c r="A8" s="29"/>
      <c r="B8" s="30"/>
    </row>
    <row r="9">
      <c r="A9" s="31" t="s">
        <v>95</v>
      </c>
      <c r="B9" s="28" t="s">
        <v>96</v>
      </c>
    </row>
    <row r="10">
      <c r="A10" s="29"/>
      <c r="B10" s="30"/>
    </row>
    <row r="11">
      <c r="A11" s="31" t="s">
        <v>97</v>
      </c>
      <c r="B11" s="32"/>
    </row>
    <row r="12">
      <c r="A12" s="30"/>
      <c r="B12" s="30"/>
    </row>
    <row r="13">
      <c r="A13" s="31" t="s">
        <v>98</v>
      </c>
      <c r="B13" s="32"/>
    </row>
    <row r="14">
      <c r="A14" s="30"/>
      <c r="B14" s="30"/>
    </row>
    <row r="15">
      <c r="A15" s="33" t="s">
        <v>99</v>
      </c>
      <c r="B15" s="28" t="s">
        <v>100</v>
      </c>
    </row>
    <row r="16">
      <c r="A16" s="30"/>
      <c r="B16" s="30"/>
    </row>
    <row r="17">
      <c r="A17" s="33" t="s">
        <v>101</v>
      </c>
      <c r="B17" s="28" t="s">
        <v>102</v>
      </c>
    </row>
    <row r="18">
      <c r="A18" s="30"/>
      <c r="B18" s="30"/>
    </row>
    <row r="19">
      <c r="A19" s="31" t="s">
        <v>103</v>
      </c>
      <c r="B19" s="33"/>
    </row>
    <row r="21">
      <c r="A21" s="34" t="s">
        <v>71</v>
      </c>
      <c r="B21" s="35" t="s">
        <v>77</v>
      </c>
    </row>
    <row r="22">
      <c r="A22" s="34" t="s">
        <v>104</v>
      </c>
      <c r="B22" s="35" t="s">
        <v>73</v>
      </c>
    </row>
    <row r="23">
      <c r="A23" s="34" t="s">
        <v>104</v>
      </c>
      <c r="B23" s="35" t="s">
        <v>74</v>
      </c>
    </row>
    <row r="24">
      <c r="A24" s="34" t="s">
        <v>105</v>
      </c>
      <c r="B24" s="35" t="s">
        <v>80</v>
      </c>
    </row>
    <row r="25">
      <c r="A25" s="34" t="s">
        <v>105</v>
      </c>
      <c r="B25" s="35" t="s">
        <v>81</v>
      </c>
    </row>
    <row r="26">
      <c r="A26" s="34" t="s">
        <v>105</v>
      </c>
      <c r="B26" s="35" t="s">
        <v>79</v>
      </c>
    </row>
    <row r="27">
      <c r="A27" s="34" t="s">
        <v>105</v>
      </c>
      <c r="B27" s="35" t="s">
        <v>76</v>
      </c>
    </row>
    <row r="28">
      <c r="A28" s="34" t="s">
        <v>105</v>
      </c>
      <c r="B28" s="35" t="s">
        <v>82</v>
      </c>
    </row>
    <row r="29">
      <c r="A29" s="34" t="s">
        <v>105</v>
      </c>
      <c r="B29" s="35" t="s">
        <v>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106</v>
      </c>
      <c r="B1" s="36" t="s">
        <v>107</v>
      </c>
    </row>
    <row r="2">
      <c r="A2" s="37"/>
      <c r="B2" s="38"/>
    </row>
    <row r="3">
      <c r="A3" s="39" t="s">
        <v>108</v>
      </c>
      <c r="B3" s="39" t="s">
        <v>109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0" t="s">
        <v>110</v>
      </c>
      <c r="B1" s="40" t="s">
        <v>111</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112</v>
      </c>
      <c r="B1" s="4" t="s">
        <v>113</v>
      </c>
    </row>
    <row r="2">
      <c r="A2" s="42">
        <v>1.0</v>
      </c>
      <c r="B2" s="2" t="s">
        <v>114</v>
      </c>
    </row>
    <row r="3">
      <c r="A3" s="42">
        <f t="shared" ref="A3:A16" si="1">A2+1</f>
        <v>2</v>
      </c>
      <c r="B3" s="2" t="s">
        <v>115</v>
      </c>
    </row>
    <row r="4">
      <c r="A4" s="42">
        <f t="shared" si="1"/>
        <v>3</v>
      </c>
      <c r="B4" s="2" t="s">
        <v>116</v>
      </c>
    </row>
    <row r="5">
      <c r="A5" s="42">
        <f t="shared" si="1"/>
        <v>4</v>
      </c>
      <c r="B5" s="35" t="s">
        <v>117</v>
      </c>
    </row>
    <row r="6">
      <c r="A6" s="42">
        <f t="shared" si="1"/>
        <v>5</v>
      </c>
      <c r="B6" s="2" t="s">
        <v>118</v>
      </c>
    </row>
    <row r="7">
      <c r="A7" s="42">
        <f t="shared" si="1"/>
        <v>6</v>
      </c>
      <c r="B7" s="2" t="s">
        <v>119</v>
      </c>
    </row>
    <row r="8">
      <c r="A8" s="42">
        <f t="shared" si="1"/>
        <v>7</v>
      </c>
      <c r="B8" s="2" t="s">
        <v>120</v>
      </c>
    </row>
    <row r="9">
      <c r="A9" s="42">
        <f t="shared" si="1"/>
        <v>8</v>
      </c>
      <c r="B9" s="2" t="s">
        <v>121</v>
      </c>
    </row>
    <row r="10">
      <c r="A10" s="42">
        <f t="shared" si="1"/>
        <v>9</v>
      </c>
      <c r="B10" s="3"/>
    </row>
    <row r="11">
      <c r="A11" s="42">
        <f t="shared" si="1"/>
        <v>10</v>
      </c>
      <c r="B11" s="3"/>
    </row>
    <row r="12">
      <c r="A12" s="42">
        <f t="shared" si="1"/>
        <v>11</v>
      </c>
      <c r="B12" s="3"/>
    </row>
    <row r="13">
      <c r="A13" s="42">
        <f t="shared" si="1"/>
        <v>12</v>
      </c>
      <c r="B13" s="3"/>
    </row>
    <row r="14">
      <c r="A14" s="42">
        <f t="shared" si="1"/>
        <v>13</v>
      </c>
      <c r="B14" s="3"/>
    </row>
    <row r="15">
      <c r="A15" s="42">
        <f t="shared" si="1"/>
        <v>14</v>
      </c>
      <c r="B15" s="3"/>
    </row>
    <row r="16">
      <c r="A16" s="42">
        <f t="shared" si="1"/>
        <v>15</v>
      </c>
      <c r="B16" s="3"/>
    </row>
    <row r="17">
      <c r="A17" s="42"/>
      <c r="B17" s="3"/>
    </row>
    <row r="18">
      <c r="A18" s="42"/>
      <c r="B18" s="3"/>
    </row>
    <row r="19">
      <c r="A19" s="43"/>
      <c r="B19" s="3"/>
    </row>
    <row r="20">
      <c r="A20" s="43"/>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112</v>
      </c>
      <c r="B1" s="4" t="s">
        <v>122</v>
      </c>
    </row>
    <row r="2">
      <c r="A2" s="42">
        <v>1.0</v>
      </c>
      <c r="B2" s="2">
        <v>0.0</v>
      </c>
    </row>
    <row r="3">
      <c r="A3" s="42">
        <f t="shared" ref="A3:A16" si="1">A2+1</f>
        <v>2</v>
      </c>
      <c r="B3" s="2">
        <f>SUM('Mid-Project Release plan'!B21:F24)</f>
        <v>14</v>
      </c>
    </row>
    <row r="4">
      <c r="A4" s="42">
        <f t="shared" si="1"/>
        <v>3</v>
      </c>
      <c r="B4" s="2">
        <f>SUM('Mid-Project Release plan'!B26:F32)</f>
        <v>22</v>
      </c>
    </row>
    <row r="5">
      <c r="A5" s="42">
        <f t="shared" si="1"/>
        <v>4</v>
      </c>
      <c r="B5" s="35">
        <f>SUM('Mid-Project Release plan'!B34:F36)</f>
        <v>11</v>
      </c>
    </row>
    <row r="6">
      <c r="A6" s="42">
        <f t="shared" si="1"/>
        <v>5</v>
      </c>
      <c r="B6" s="2">
        <f>SUM('Mid-Project Release plan'!B38:F45)</f>
        <v>21</v>
      </c>
    </row>
    <row r="7">
      <c r="A7" s="42">
        <f t="shared" si="1"/>
        <v>6</v>
      </c>
      <c r="B7" s="2">
        <f>SUM('Mid-Project Release plan'!B48:F56)</f>
        <v>26</v>
      </c>
    </row>
    <row r="8">
      <c r="A8" s="42">
        <f t="shared" si="1"/>
        <v>7</v>
      </c>
      <c r="B8" s="3"/>
    </row>
    <row r="9">
      <c r="A9" s="42">
        <f t="shared" si="1"/>
        <v>8</v>
      </c>
      <c r="B9" s="3"/>
    </row>
    <row r="10">
      <c r="A10" s="42">
        <f t="shared" si="1"/>
        <v>9</v>
      </c>
      <c r="B10" s="3"/>
    </row>
    <row r="11">
      <c r="A11" s="42">
        <f t="shared" si="1"/>
        <v>10</v>
      </c>
      <c r="B11" s="3"/>
    </row>
    <row r="12">
      <c r="A12" s="42">
        <f t="shared" si="1"/>
        <v>11</v>
      </c>
      <c r="B12" s="3"/>
    </row>
    <row r="13">
      <c r="A13" s="42">
        <f t="shared" si="1"/>
        <v>12</v>
      </c>
      <c r="B13" s="3"/>
    </row>
    <row r="14">
      <c r="A14" s="42">
        <f t="shared" si="1"/>
        <v>13</v>
      </c>
      <c r="B14" s="3"/>
    </row>
    <row r="15">
      <c r="A15" s="42">
        <f t="shared" si="1"/>
        <v>14</v>
      </c>
      <c r="B15" s="3"/>
    </row>
    <row r="16">
      <c r="A16" s="42">
        <f t="shared" si="1"/>
        <v>15</v>
      </c>
      <c r="B16" s="3"/>
    </row>
    <row r="17">
      <c r="A17" s="42"/>
      <c r="B17" s="3"/>
    </row>
    <row r="18">
      <c r="A18" s="42"/>
      <c r="B18" s="44"/>
    </row>
    <row r="19">
      <c r="A19" s="43"/>
      <c r="B19" s="3"/>
    </row>
    <row r="20">
      <c r="A20" s="43"/>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36.38"/>
  </cols>
  <sheetData>
    <row r="1">
      <c r="A1" s="4" t="s">
        <v>123</v>
      </c>
    </row>
    <row r="2">
      <c r="A2" s="2">
        <f>AVERAGE('Velocity Tracking'!B$2:B$16)</f>
        <v>15.66666667</v>
      </c>
    </row>
    <row r="3">
      <c r="A3" s="2">
        <f>AVERAGE('Velocity Tracking'!B$2:B$16)</f>
        <v>15.66666667</v>
      </c>
    </row>
    <row r="4">
      <c r="A4" s="2">
        <f>AVERAGE('Velocity Tracking'!B$2:B$16)</f>
        <v>15.66666667</v>
      </c>
    </row>
    <row r="5">
      <c r="A5" s="2">
        <f>AVERAGE('Velocity Tracking'!B$2:B$16)</f>
        <v>15.66666667</v>
      </c>
    </row>
    <row r="6">
      <c r="A6" s="2">
        <f>AVERAGE('Velocity Tracking'!B$2:B$16)</f>
        <v>15.66666667</v>
      </c>
    </row>
    <row r="7">
      <c r="A7" s="2">
        <f>AVERAGE('Velocity Tracking'!B$2:B$16)</f>
        <v>15.66666667</v>
      </c>
    </row>
    <row r="8">
      <c r="A8" s="2">
        <f>AVERAGE('Velocity Tracking'!B$2:B$16)</f>
        <v>15.66666667</v>
      </c>
    </row>
    <row r="9">
      <c r="A9" s="2">
        <f>AVERAGE('Velocity Tracking'!B$2:B$16)</f>
        <v>15.66666667</v>
      </c>
    </row>
    <row r="10">
      <c r="A10" s="2">
        <f>AVERAGE('Velocity Tracking'!B$2:B$16)</f>
        <v>15.66666667</v>
      </c>
    </row>
    <row r="11">
      <c r="A11" s="2">
        <f>AVERAGE('Velocity Tracking'!B$2:B$16)</f>
        <v>15.66666667</v>
      </c>
    </row>
    <row r="12">
      <c r="A12" s="2">
        <f>AVERAGE('Velocity Tracking'!B$2:B$16)</f>
        <v>15.66666667</v>
      </c>
    </row>
    <row r="13">
      <c r="A13" s="2">
        <f>AVERAGE('Velocity Tracking'!B$2:B$16)</f>
        <v>15.66666667</v>
      </c>
    </row>
    <row r="14">
      <c r="A14" s="2">
        <f>AVERAGE('Velocity Tracking'!B$2:B$16)</f>
        <v>15.66666667</v>
      </c>
    </row>
    <row r="15">
      <c r="A15" s="2">
        <f>AVERAGE('Velocity Tracking'!B$2:B$16)</f>
        <v>15.66666667</v>
      </c>
    </row>
    <row r="16">
      <c r="A16" s="2">
        <f>AVERAGE('Velocity Tracking'!B$2:B$16)</f>
        <v>15.66666667</v>
      </c>
    </row>
    <row r="17">
      <c r="A17" s="3"/>
    </row>
    <row r="18">
      <c r="A18" s="45"/>
    </row>
    <row r="19">
      <c r="A19" s="3"/>
    </row>
    <row r="20">
      <c r="A20"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6" t="s">
        <v>124</v>
      </c>
      <c r="B1" s="47" t="s">
        <v>125</v>
      </c>
      <c r="C1" s="48" t="s">
        <v>126</v>
      </c>
      <c r="D1" s="49" t="s">
        <v>127</v>
      </c>
      <c r="E1" s="49" t="s">
        <v>128</v>
      </c>
      <c r="F1" s="49" t="s">
        <v>129</v>
      </c>
      <c r="G1" s="49" t="s">
        <v>130</v>
      </c>
    </row>
    <row r="2">
      <c r="A2" s="50"/>
      <c r="B2" s="51"/>
      <c r="C2" s="32"/>
      <c r="D2" s="32"/>
      <c r="E2" s="32"/>
      <c r="F2" s="32"/>
      <c r="G2" s="32"/>
    </row>
    <row r="3">
      <c r="A3" s="52" t="s">
        <v>131</v>
      </c>
      <c r="B3" s="53"/>
      <c r="C3" s="54"/>
      <c r="D3" s="54"/>
      <c r="E3" s="54"/>
      <c r="F3" s="54"/>
      <c r="G3" s="54"/>
    </row>
    <row r="4">
      <c r="A4" s="55"/>
      <c r="B4" s="56"/>
      <c r="C4" s="57"/>
      <c r="D4" s="57"/>
      <c r="E4" s="57"/>
      <c r="F4" s="57"/>
      <c r="G4" s="57"/>
    </row>
    <row r="5">
      <c r="A5" s="58" t="s">
        <v>132</v>
      </c>
      <c r="B5" s="59"/>
      <c r="C5" s="57"/>
      <c r="D5" s="60">
        <f>sum(D8:D16)</f>
        <v>100</v>
      </c>
      <c r="E5" s="60">
        <f>D5</f>
        <v>100</v>
      </c>
      <c r="F5" s="57"/>
      <c r="G5" s="57"/>
    </row>
    <row r="6">
      <c r="A6" s="55"/>
      <c r="B6" s="56"/>
      <c r="C6" s="57"/>
      <c r="D6" s="57"/>
      <c r="E6" s="57"/>
      <c r="F6" s="57"/>
      <c r="G6" s="57"/>
    </row>
    <row r="7">
      <c r="A7" s="61" t="s">
        <v>133</v>
      </c>
      <c r="B7" s="62"/>
      <c r="C7" s="63"/>
      <c r="D7" s="63"/>
      <c r="E7" s="63"/>
      <c r="F7" s="63"/>
      <c r="G7" s="63"/>
    </row>
    <row r="8">
      <c r="A8" s="55"/>
      <c r="B8" s="56"/>
      <c r="C8" s="57"/>
      <c r="D8" s="57"/>
      <c r="E8" s="64" t="s">
        <v>134</v>
      </c>
      <c r="F8" s="57"/>
      <c r="G8" s="64" t="s">
        <v>135</v>
      </c>
    </row>
    <row r="9">
      <c r="A9" s="65">
        <f t="shared" ref="A9:A14" si="1">ROW()-8</f>
        <v>1</v>
      </c>
      <c r="B9" s="66" t="str">
        <f>'Sprint Goals'!B2</f>
        <v>Meeting with industry partner and getting things started (and the T-shirt of course)</v>
      </c>
      <c r="C9" s="57"/>
      <c r="D9" s="60">
        <f>sum(D19)</f>
        <v>0</v>
      </c>
      <c r="E9" s="60">
        <f>$D$5</f>
        <v>100</v>
      </c>
      <c r="F9" s="60">
        <f>sum(F19)</f>
        <v>0</v>
      </c>
      <c r="G9" s="60">
        <f>$D$5</f>
        <v>100</v>
      </c>
    </row>
    <row r="10">
      <c r="A10" s="65">
        <f t="shared" si="1"/>
        <v>2</v>
      </c>
      <c r="B10" s="66" t="str">
        <f>'Sprint Goals'!B3</f>
        <v>Start work on individual components and research unclear topics</v>
      </c>
      <c r="C10" s="57"/>
      <c r="D10" s="60">
        <f>sum(D20:D24)</f>
        <v>16</v>
      </c>
      <c r="E10" s="60">
        <f t="shared" ref="E10:E14" si="2">E9-D9</f>
        <v>100</v>
      </c>
      <c r="F10" s="60">
        <f>sum(F21:F24)</f>
        <v>14</v>
      </c>
      <c r="G10" s="60">
        <f t="shared" ref="G10:G14" si="3">G9-F9</f>
        <v>100</v>
      </c>
    </row>
    <row r="11">
      <c r="A11" s="65">
        <f t="shared" si="1"/>
        <v>3</v>
      </c>
      <c r="B11" s="66" t="str">
        <f>'Sprint Goals'!B4</f>
        <v>Combining components into a first working prototype</v>
      </c>
      <c r="C11" s="57"/>
      <c r="D11" s="60">
        <f>sum(D25:D32)</f>
        <v>21</v>
      </c>
      <c r="E11" s="60">
        <f t="shared" si="2"/>
        <v>84</v>
      </c>
      <c r="F11" s="60">
        <f>sum(F25:F32)</f>
        <v>22</v>
      </c>
      <c r="G11" s="60">
        <f t="shared" si="3"/>
        <v>86</v>
      </c>
    </row>
    <row r="12">
      <c r="A12" s="65">
        <f t="shared" si="1"/>
        <v>4</v>
      </c>
      <c r="B12" s="66" t="str">
        <f>'Sprint Goals'!B5</f>
        <v>Refining prototype and splitting out components</v>
      </c>
      <c r="C12" s="57"/>
      <c r="D12" s="57">
        <f>sum(D33:D36)</f>
        <v>13</v>
      </c>
      <c r="E12" s="60">
        <f t="shared" si="2"/>
        <v>63</v>
      </c>
      <c r="F12" s="57">
        <f>sum(F33:F36)</f>
        <v>11</v>
      </c>
      <c r="G12" s="60">
        <f t="shared" si="3"/>
        <v>64</v>
      </c>
    </row>
    <row r="13">
      <c r="A13" s="65">
        <f t="shared" si="1"/>
        <v>5</v>
      </c>
      <c r="B13" s="66" t="str">
        <f>'Sprint Goals'!B6</f>
        <v>Finishing the Implementation of the Initial Architecture</v>
      </c>
      <c r="C13" s="57"/>
      <c r="D13" s="57">
        <f>Sum(D37:D45)</f>
        <v>25</v>
      </c>
      <c r="E13" s="60">
        <f t="shared" si="2"/>
        <v>50</v>
      </c>
      <c r="F13" s="57">
        <f>sum(F37:F45)</f>
        <v>21</v>
      </c>
      <c r="G13" s="60">
        <f t="shared" si="3"/>
        <v>53</v>
      </c>
    </row>
    <row r="14">
      <c r="A14" s="65">
        <f t="shared" si="1"/>
        <v>6</v>
      </c>
      <c r="B14" s="66" t="str">
        <f>'Sprint Goals'!B7</f>
        <v>Refine component parts</v>
      </c>
      <c r="C14" s="57"/>
      <c r="D14" s="57">
        <f>Sum(D47:D56)</f>
        <v>25</v>
      </c>
      <c r="E14" s="57">
        <f t="shared" si="2"/>
        <v>25</v>
      </c>
      <c r="F14" s="57">
        <f>Sum(F47:F56)</f>
        <v>26</v>
      </c>
      <c r="G14" s="57">
        <f t="shared" si="3"/>
        <v>32</v>
      </c>
    </row>
    <row r="15">
      <c r="A15" s="65"/>
      <c r="B15" s="58"/>
      <c r="C15" s="57"/>
      <c r="D15" s="57"/>
      <c r="E15" s="57"/>
      <c r="F15" s="57"/>
      <c r="G15" s="57"/>
    </row>
    <row r="16">
      <c r="A16" s="65"/>
      <c r="B16" s="58"/>
      <c r="C16" s="57"/>
      <c r="D16" s="57"/>
      <c r="E16" s="57"/>
      <c r="F16" s="57"/>
      <c r="G16" s="57"/>
    </row>
    <row r="17">
      <c r="A17" s="67" t="s">
        <v>136</v>
      </c>
      <c r="B17" s="68"/>
      <c r="C17" s="69"/>
      <c r="D17" s="69"/>
      <c r="E17" s="69"/>
      <c r="F17" s="69"/>
      <c r="G17" s="69"/>
    </row>
    <row r="18">
      <c r="A18" s="65"/>
      <c r="B18" s="58"/>
      <c r="C18" s="57"/>
      <c r="D18" s="57"/>
      <c r="E18" s="57"/>
      <c r="F18" s="57"/>
      <c r="G18" s="57"/>
    </row>
    <row r="19">
      <c r="A19" s="70">
        <f t="shared" ref="A19:B19" si="4">A9</f>
        <v>1</v>
      </c>
      <c r="B19" s="71" t="str">
        <f t="shared" si="4"/>
        <v>Meeting with industry partner and getting things started (and the T-shirt of course)</v>
      </c>
      <c r="C19" s="57"/>
      <c r="D19" s="57"/>
      <c r="E19" s="57"/>
      <c r="F19" s="57"/>
      <c r="G19" s="57"/>
    </row>
    <row r="20">
      <c r="A20" s="70">
        <f t="shared" ref="A20:B20" si="5">A10</f>
        <v>2</v>
      </c>
      <c r="B20" s="71" t="str">
        <f t="shared" si="5"/>
        <v>Start work on individual components and research unclear topics</v>
      </c>
      <c r="C20" s="57"/>
      <c r="D20" s="57"/>
      <c r="E20" s="57"/>
      <c r="F20" s="57"/>
      <c r="G20" s="57"/>
    </row>
    <row r="21">
      <c r="A21" s="65"/>
      <c r="B21" s="72"/>
      <c r="C21" s="73" t="s">
        <v>137</v>
      </c>
      <c r="D21" s="73">
        <v>5.0</v>
      </c>
      <c r="E21" s="57"/>
      <c r="F21" s="73">
        <v>5.0</v>
      </c>
      <c r="G21" s="57"/>
    </row>
    <row r="22">
      <c r="A22" s="65"/>
      <c r="B22" s="72"/>
      <c r="C22" s="74" t="s">
        <v>138</v>
      </c>
      <c r="D22" s="75">
        <v>5.0</v>
      </c>
      <c r="E22" s="72"/>
      <c r="F22" s="75">
        <v>5.0</v>
      </c>
      <c r="G22" s="72"/>
    </row>
    <row r="23">
      <c r="A23" s="65"/>
      <c r="B23" s="72"/>
      <c r="C23" s="73" t="s">
        <v>139</v>
      </c>
      <c r="D23" s="75">
        <v>3.0</v>
      </c>
      <c r="E23" s="57"/>
      <c r="F23" s="75">
        <v>3.0</v>
      </c>
      <c r="G23" s="57"/>
    </row>
    <row r="24">
      <c r="A24" s="65"/>
      <c r="B24" s="72"/>
      <c r="C24" s="74" t="s">
        <v>140</v>
      </c>
      <c r="D24" s="75">
        <v>3.0</v>
      </c>
      <c r="E24" s="72"/>
      <c r="F24" s="75">
        <v>1.0</v>
      </c>
      <c r="G24" s="72"/>
    </row>
    <row r="25">
      <c r="A25" s="70">
        <f t="shared" ref="A25:B25" si="6">A11</f>
        <v>3</v>
      </c>
      <c r="B25" s="71" t="str">
        <f t="shared" si="6"/>
        <v>Combining components into a first working prototype</v>
      </c>
      <c r="C25" s="57"/>
      <c r="D25" s="57"/>
      <c r="E25" s="57"/>
      <c r="F25" s="57"/>
      <c r="G25" s="57"/>
    </row>
    <row r="26">
      <c r="A26" s="65"/>
      <c r="B26" s="72"/>
      <c r="C26" s="73" t="s">
        <v>141</v>
      </c>
      <c r="D26" s="73">
        <v>2.0</v>
      </c>
      <c r="E26" s="57"/>
      <c r="F26" s="73">
        <v>2.0</v>
      </c>
      <c r="G26" s="57"/>
    </row>
    <row r="27">
      <c r="A27" s="65"/>
      <c r="B27" s="72"/>
      <c r="C27" s="74" t="s">
        <v>142</v>
      </c>
      <c r="D27" s="75">
        <v>2.0</v>
      </c>
      <c r="E27" s="72"/>
      <c r="F27" s="74">
        <v>3.0</v>
      </c>
      <c r="G27" s="72"/>
    </row>
    <row r="28">
      <c r="A28" s="65"/>
      <c r="B28" s="72"/>
      <c r="C28" s="73" t="s">
        <v>143</v>
      </c>
      <c r="D28" s="75">
        <v>2.0</v>
      </c>
      <c r="E28" s="57"/>
      <c r="F28" s="73">
        <v>2.0</v>
      </c>
      <c r="G28" s="57"/>
    </row>
    <row r="29">
      <c r="A29" s="65"/>
      <c r="B29" s="72"/>
      <c r="C29" s="73" t="s">
        <v>144</v>
      </c>
      <c r="D29" s="75">
        <v>3.0</v>
      </c>
      <c r="E29" s="72"/>
      <c r="F29" s="74">
        <v>3.0</v>
      </c>
      <c r="G29" s="72"/>
    </row>
    <row r="30">
      <c r="A30" s="65"/>
      <c r="B30" s="72"/>
      <c r="C30" s="76" t="s">
        <v>145</v>
      </c>
      <c r="D30" s="75">
        <v>2.0</v>
      </c>
      <c r="E30" s="57"/>
      <c r="F30" s="73">
        <v>2.0</v>
      </c>
      <c r="G30" s="57"/>
    </row>
    <row r="31">
      <c r="A31" s="65"/>
      <c r="B31" s="72"/>
      <c r="C31" s="73" t="s">
        <v>146</v>
      </c>
      <c r="D31" s="73">
        <v>5.0</v>
      </c>
      <c r="E31" s="57"/>
      <c r="F31" s="73">
        <v>5.0</v>
      </c>
      <c r="G31" s="57"/>
    </row>
    <row r="32">
      <c r="A32" s="65"/>
      <c r="B32" s="72"/>
      <c r="C32" s="73" t="s">
        <v>147</v>
      </c>
      <c r="D32" s="73">
        <v>5.0</v>
      </c>
      <c r="E32" s="57"/>
      <c r="F32" s="73">
        <v>5.0</v>
      </c>
      <c r="G32" s="57"/>
    </row>
    <row r="33">
      <c r="A33" s="77">
        <f t="shared" ref="A33:B33" si="7">A12</f>
        <v>4</v>
      </c>
      <c r="B33" s="71" t="str">
        <f t="shared" si="7"/>
        <v>Refining prototype and splitting out components</v>
      </c>
      <c r="C33" s="57"/>
      <c r="D33" s="57"/>
      <c r="E33" s="57"/>
      <c r="F33" s="57"/>
      <c r="G33" s="57"/>
    </row>
    <row r="34">
      <c r="A34" s="65"/>
      <c r="B34" s="72"/>
      <c r="C34" s="73" t="s">
        <v>148</v>
      </c>
      <c r="D34" s="73">
        <v>5.0</v>
      </c>
      <c r="E34" s="57"/>
      <c r="F34" s="73">
        <v>3.0</v>
      </c>
      <c r="G34" s="57"/>
    </row>
    <row r="35">
      <c r="A35" s="65"/>
      <c r="B35" s="72"/>
      <c r="C35" s="73" t="s">
        <v>149</v>
      </c>
      <c r="D35" s="73">
        <v>3.0</v>
      </c>
      <c r="E35" s="57"/>
      <c r="F35" s="73">
        <v>3.0</v>
      </c>
      <c r="G35" s="57"/>
    </row>
    <row r="36">
      <c r="A36" s="65"/>
      <c r="B36" s="72"/>
      <c r="C36" s="73" t="s">
        <v>150</v>
      </c>
      <c r="D36" s="73">
        <v>5.0</v>
      </c>
      <c r="E36" s="57"/>
      <c r="F36" s="73">
        <v>5.0</v>
      </c>
      <c r="G36" s="57"/>
    </row>
    <row r="37">
      <c r="A37" s="65">
        <f t="shared" ref="A37:B37" si="8">A13</f>
        <v>5</v>
      </c>
      <c r="B37" s="71" t="str">
        <f t="shared" si="8"/>
        <v>Finishing the Implementation of the Initial Architecture</v>
      </c>
      <c r="C37" s="57"/>
      <c r="D37" s="57"/>
      <c r="E37" s="57"/>
      <c r="F37" s="57"/>
      <c r="G37" s="57"/>
    </row>
    <row r="38">
      <c r="A38" s="65"/>
      <c r="B38" s="72"/>
      <c r="C38" s="73" t="s">
        <v>151</v>
      </c>
      <c r="D38" s="73">
        <v>3.0</v>
      </c>
      <c r="E38" s="57"/>
      <c r="F38" s="73">
        <v>3.0</v>
      </c>
      <c r="G38" s="57"/>
    </row>
    <row r="39">
      <c r="A39" s="65"/>
      <c r="B39" s="72"/>
      <c r="C39" s="73" t="s">
        <v>152</v>
      </c>
      <c r="D39" s="73">
        <v>5.0</v>
      </c>
      <c r="E39" s="57"/>
      <c r="F39" s="73">
        <v>5.0</v>
      </c>
      <c r="G39" s="57"/>
    </row>
    <row r="40">
      <c r="A40" s="65"/>
      <c r="B40" s="72"/>
      <c r="C40" s="73" t="s">
        <v>153</v>
      </c>
      <c r="D40" s="73">
        <v>3.0</v>
      </c>
      <c r="E40" s="57"/>
      <c r="F40" s="73">
        <v>3.0</v>
      </c>
      <c r="G40" s="57"/>
    </row>
    <row r="41">
      <c r="A41" s="65"/>
      <c r="B41" s="72"/>
      <c r="C41" s="73" t="s">
        <v>154</v>
      </c>
      <c r="D41" s="73">
        <v>5.0</v>
      </c>
      <c r="E41" s="57"/>
      <c r="F41" s="73">
        <v>3.0</v>
      </c>
      <c r="G41" s="57"/>
    </row>
    <row r="42">
      <c r="A42" s="65"/>
      <c r="B42" s="72"/>
      <c r="C42" s="73" t="s">
        <v>155</v>
      </c>
      <c r="D42" s="73">
        <v>3.0</v>
      </c>
      <c r="E42" s="57"/>
      <c r="F42" s="73">
        <v>3.0</v>
      </c>
      <c r="G42" s="57"/>
    </row>
    <row r="43">
      <c r="A43" s="65"/>
      <c r="B43" s="72"/>
      <c r="C43" s="73" t="s">
        <v>156</v>
      </c>
      <c r="D43" s="73">
        <v>3.0</v>
      </c>
      <c r="E43" s="57"/>
      <c r="F43" s="73">
        <v>3.0</v>
      </c>
      <c r="G43" s="57"/>
    </row>
    <row r="44">
      <c r="A44" s="65"/>
      <c r="B44" s="72"/>
      <c r="C44" s="73" t="s">
        <v>157</v>
      </c>
      <c r="D44" s="73">
        <v>1.0</v>
      </c>
      <c r="E44" s="57"/>
      <c r="F44" s="73">
        <v>1.0</v>
      </c>
      <c r="G44" s="57"/>
    </row>
    <row r="45">
      <c r="A45" s="65"/>
      <c r="B45" s="72"/>
      <c r="C45" s="73" t="s">
        <v>158</v>
      </c>
      <c r="D45" s="73">
        <v>2.0</v>
      </c>
      <c r="E45" s="57"/>
      <c r="F45" s="73">
        <v>0.0</v>
      </c>
      <c r="G45" s="57"/>
    </row>
    <row r="46">
      <c r="A46" s="65"/>
      <c r="B46" s="72"/>
      <c r="C46" s="73"/>
      <c r="D46" s="73"/>
      <c r="E46" s="57"/>
      <c r="F46" s="57"/>
      <c r="G46" s="57"/>
    </row>
    <row r="47">
      <c r="A47" s="65">
        <f t="shared" ref="A47:B47" si="9">A14</f>
        <v>6</v>
      </c>
      <c r="B47" s="71" t="str">
        <f t="shared" si="9"/>
        <v>Refine component parts</v>
      </c>
      <c r="C47" s="57"/>
      <c r="D47" s="57"/>
      <c r="E47" s="57"/>
      <c r="F47" s="57"/>
      <c r="G47" s="57"/>
    </row>
    <row r="48">
      <c r="A48" s="65"/>
      <c r="B48" s="72"/>
      <c r="C48" s="73" t="s">
        <v>159</v>
      </c>
      <c r="D48" s="73">
        <v>3.0</v>
      </c>
      <c r="E48" s="57"/>
      <c r="F48" s="73">
        <v>1.0</v>
      </c>
      <c r="G48" s="57"/>
    </row>
    <row r="49">
      <c r="A49" s="65"/>
      <c r="B49" s="72"/>
      <c r="C49" s="73" t="s">
        <v>160</v>
      </c>
      <c r="D49" s="73">
        <v>3.0</v>
      </c>
      <c r="E49" s="57"/>
      <c r="F49" s="73">
        <v>2.0</v>
      </c>
      <c r="G49" s="57"/>
    </row>
    <row r="50">
      <c r="A50" s="65"/>
      <c r="B50" s="72"/>
      <c r="C50" s="73" t="s">
        <v>161</v>
      </c>
      <c r="D50" s="73">
        <v>3.0</v>
      </c>
      <c r="E50" s="57"/>
      <c r="F50" s="73">
        <v>3.0</v>
      </c>
      <c r="G50" s="57"/>
    </row>
    <row r="51">
      <c r="A51" s="65"/>
      <c r="B51" s="72"/>
      <c r="C51" s="73" t="s">
        <v>162</v>
      </c>
      <c r="D51" s="73">
        <v>3.0</v>
      </c>
      <c r="E51" s="57"/>
      <c r="F51" s="73">
        <v>3.0</v>
      </c>
      <c r="G51" s="57"/>
    </row>
    <row r="52">
      <c r="A52" s="65"/>
      <c r="B52" s="72"/>
      <c r="C52" s="73" t="s">
        <v>163</v>
      </c>
      <c r="D52" s="73">
        <v>2.0</v>
      </c>
      <c r="E52" s="57"/>
      <c r="F52" s="73">
        <v>2.0</v>
      </c>
      <c r="G52" s="57"/>
    </row>
    <row r="53">
      <c r="A53" s="65"/>
      <c r="B53" s="72"/>
      <c r="C53" s="73" t="s">
        <v>164</v>
      </c>
      <c r="D53" s="73">
        <v>2.0</v>
      </c>
      <c r="E53" s="57"/>
      <c r="F53" s="73">
        <v>2.0</v>
      </c>
      <c r="G53" s="57"/>
    </row>
    <row r="54">
      <c r="A54" s="65"/>
      <c r="B54" s="72"/>
      <c r="C54" s="73" t="s">
        <v>165</v>
      </c>
      <c r="D54" s="73">
        <v>3.0</v>
      </c>
      <c r="E54" s="57"/>
      <c r="F54" s="73">
        <v>5.0</v>
      </c>
      <c r="G54" s="57"/>
    </row>
    <row r="55">
      <c r="A55" s="65"/>
      <c r="B55" s="72"/>
      <c r="C55" s="73" t="s">
        <v>166</v>
      </c>
      <c r="D55" s="73">
        <v>3.0</v>
      </c>
      <c r="E55" s="57"/>
      <c r="F55" s="73">
        <v>3.0</v>
      </c>
      <c r="G55" s="57"/>
    </row>
    <row r="56">
      <c r="A56" s="65"/>
      <c r="B56" s="72"/>
      <c r="C56" s="73" t="s">
        <v>167</v>
      </c>
      <c r="D56" s="73">
        <v>3.0</v>
      </c>
      <c r="E56" s="57"/>
      <c r="F56" s="73">
        <v>5.0</v>
      </c>
      <c r="G56" s="57"/>
    </row>
    <row r="57">
      <c r="A57" s="65"/>
      <c r="B57" s="72"/>
      <c r="C57" s="57"/>
      <c r="D57" s="57"/>
      <c r="E57" s="57"/>
      <c r="F57" s="57"/>
      <c r="G57" s="57"/>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8"/>
    </row>
    <row r="2">
      <c r="A2" s="78"/>
    </row>
    <row r="3">
      <c r="A3" s="78"/>
    </row>
    <row r="4">
      <c r="A4" s="78"/>
    </row>
    <row r="5">
      <c r="A5" s="78"/>
    </row>
    <row r="6">
      <c r="A6" s="78"/>
    </row>
    <row r="7">
      <c r="A7" s="78"/>
    </row>
    <row r="8">
      <c r="A8" s="78"/>
    </row>
    <row r="9">
      <c r="A9" s="78"/>
    </row>
    <row r="10">
      <c r="A10" s="78"/>
    </row>
    <row r="11">
      <c r="A11" s="78"/>
    </row>
    <row r="12">
      <c r="A12" s="78"/>
    </row>
    <row r="13">
      <c r="A13" s="78"/>
    </row>
    <row r="14">
      <c r="A14" s="78"/>
    </row>
    <row r="15">
      <c r="A15" s="78"/>
    </row>
    <row r="16">
      <c r="A16" s="78"/>
    </row>
    <row r="17">
      <c r="A17" s="78"/>
    </row>
    <row r="18">
      <c r="A18" s="78"/>
    </row>
    <row r="19">
      <c r="A19" s="78"/>
    </row>
    <row r="20">
      <c r="A20" s="78"/>
    </row>
    <row r="21">
      <c r="A21" s="78"/>
    </row>
    <row r="22">
      <c r="A22" s="78"/>
    </row>
    <row r="23">
      <c r="A23" s="78"/>
    </row>
    <row r="24">
      <c r="A24" s="78"/>
    </row>
    <row r="25">
      <c r="A25" s="78"/>
    </row>
    <row r="26">
      <c r="A26" s="78"/>
    </row>
    <row r="27">
      <c r="A27" s="78"/>
    </row>
    <row r="28">
      <c r="A28" s="78"/>
    </row>
    <row r="29">
      <c r="A29" s="78"/>
    </row>
    <row r="30">
      <c r="A30" s="78"/>
    </row>
    <row r="31">
      <c r="A31" s="78"/>
    </row>
    <row r="32">
      <c r="A32" s="78"/>
    </row>
    <row r="33">
      <c r="A33" s="78"/>
    </row>
    <row r="34">
      <c r="A34" s="78"/>
    </row>
    <row r="35">
      <c r="A35" s="78"/>
    </row>
    <row r="36">
      <c r="A36" s="78"/>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6" t="s">
        <v>124</v>
      </c>
      <c r="B1" s="47" t="s">
        <v>125</v>
      </c>
      <c r="C1" s="48" t="s">
        <v>126</v>
      </c>
      <c r="D1" s="49" t="s">
        <v>127</v>
      </c>
      <c r="E1" s="49" t="s">
        <v>128</v>
      </c>
      <c r="F1" s="49" t="s">
        <v>129</v>
      </c>
      <c r="G1" s="49" t="s">
        <v>130</v>
      </c>
    </row>
    <row r="2">
      <c r="A2" s="50"/>
      <c r="B2" s="51"/>
      <c r="C2" s="32"/>
      <c r="D2" s="32"/>
      <c r="E2" s="32"/>
      <c r="F2" s="32"/>
      <c r="G2" s="32"/>
    </row>
    <row r="3">
      <c r="A3" s="52" t="s">
        <v>131</v>
      </c>
      <c r="B3" s="53"/>
      <c r="C3" s="54"/>
      <c r="D3" s="54"/>
      <c r="E3" s="54"/>
      <c r="F3" s="54"/>
      <c r="G3" s="54"/>
    </row>
    <row r="4">
      <c r="A4" s="55"/>
      <c r="B4" s="56"/>
      <c r="C4" s="57"/>
      <c r="D4" s="57"/>
      <c r="E4" s="57"/>
      <c r="F4" s="57"/>
      <c r="G4" s="57"/>
    </row>
    <row r="5">
      <c r="A5" s="58" t="s">
        <v>132</v>
      </c>
      <c r="B5" s="59"/>
      <c r="C5" s="57"/>
      <c r="D5" s="60">
        <f>sum(D8:D18)</f>
        <v>34</v>
      </c>
      <c r="E5" s="60">
        <f>D5</f>
        <v>34</v>
      </c>
      <c r="F5" s="57"/>
      <c r="G5" s="57"/>
    </row>
    <row r="6">
      <c r="A6" s="55"/>
      <c r="B6" s="56"/>
      <c r="C6" s="57"/>
      <c r="D6" s="57"/>
      <c r="E6" s="57"/>
      <c r="F6" s="57"/>
      <c r="G6" s="57"/>
    </row>
    <row r="7">
      <c r="A7" s="61" t="s">
        <v>133</v>
      </c>
      <c r="B7" s="62"/>
      <c r="C7" s="63"/>
      <c r="D7" s="63"/>
      <c r="E7" s="63"/>
      <c r="F7" s="63"/>
      <c r="G7" s="63"/>
    </row>
    <row r="8">
      <c r="A8" s="55"/>
      <c r="B8" s="56"/>
      <c r="C8" s="57"/>
      <c r="D8" s="57"/>
      <c r="E8" s="64" t="s">
        <v>134</v>
      </c>
      <c r="F8" s="57"/>
      <c r="G8" s="64" t="s">
        <v>135</v>
      </c>
    </row>
    <row r="9">
      <c r="A9" s="65">
        <f t="shared" ref="A9:A17" si="1">ROW()-2</f>
        <v>7</v>
      </c>
      <c r="B9" s="66" t="str">
        <f>'Sprint Goals'!B8</f>
        <v>Improve Extensibility and Documentation</v>
      </c>
      <c r="C9" s="57"/>
      <c r="D9" s="60">
        <f>sum(D21:D32)</f>
        <v>34</v>
      </c>
      <c r="E9" s="60">
        <f>$D$5</f>
        <v>34</v>
      </c>
      <c r="F9" s="60">
        <f>sum(F21:F32)</f>
        <v>0</v>
      </c>
      <c r="G9" s="60">
        <f>$D$5</f>
        <v>34</v>
      </c>
    </row>
    <row r="10">
      <c r="A10" s="65">
        <f t="shared" si="1"/>
        <v>8</v>
      </c>
      <c r="B10" s="66" t="str">
        <f>'Sprint Goals'!B9</f>
        <v>Refining the overall look and feel</v>
      </c>
      <c r="C10" s="57"/>
      <c r="D10" s="60">
        <f t="shared" ref="D10:D17" si="2">sum(D34)</f>
        <v>0</v>
      </c>
      <c r="E10" s="60">
        <f t="shared" ref="E10:E17" si="3">E9-D9</f>
        <v>0</v>
      </c>
      <c r="F10" s="60">
        <f t="shared" ref="F10:F17" si="4">sum(F34)</f>
        <v>0</v>
      </c>
      <c r="G10" s="60">
        <f t="shared" ref="G10:G17" si="5">G9-F9</f>
        <v>34</v>
      </c>
    </row>
    <row r="11">
      <c r="A11" s="65">
        <f t="shared" si="1"/>
        <v>9</v>
      </c>
      <c r="B11" s="66" t="str">
        <f>'Sprint Goals'!B10</f>
        <v/>
      </c>
      <c r="C11" s="57"/>
      <c r="D11" s="60">
        <f t="shared" si="2"/>
        <v>0</v>
      </c>
      <c r="E11" s="60">
        <f t="shared" si="3"/>
        <v>0</v>
      </c>
      <c r="F11" s="60">
        <f t="shared" si="4"/>
        <v>0</v>
      </c>
      <c r="G11" s="60">
        <f t="shared" si="5"/>
        <v>34</v>
      </c>
    </row>
    <row r="12">
      <c r="A12" s="65">
        <f t="shared" si="1"/>
        <v>10</v>
      </c>
      <c r="B12" s="66" t="str">
        <f>'Sprint Goals'!B11</f>
        <v/>
      </c>
      <c r="C12" s="57"/>
      <c r="D12" s="60">
        <f t="shared" si="2"/>
        <v>0</v>
      </c>
      <c r="E12" s="60">
        <f t="shared" si="3"/>
        <v>0</v>
      </c>
      <c r="F12" s="60">
        <f t="shared" si="4"/>
        <v>0</v>
      </c>
      <c r="G12" s="60">
        <f t="shared" si="5"/>
        <v>34</v>
      </c>
    </row>
    <row r="13">
      <c r="A13" s="65">
        <f t="shared" si="1"/>
        <v>11</v>
      </c>
      <c r="B13" s="66" t="str">
        <f>'Sprint Goals'!B12</f>
        <v/>
      </c>
      <c r="C13" s="57"/>
      <c r="D13" s="60">
        <f t="shared" si="2"/>
        <v>0</v>
      </c>
      <c r="E13" s="60">
        <f t="shared" si="3"/>
        <v>0</v>
      </c>
      <c r="F13" s="60">
        <f t="shared" si="4"/>
        <v>0</v>
      </c>
      <c r="G13" s="60">
        <f t="shared" si="5"/>
        <v>34</v>
      </c>
    </row>
    <row r="14">
      <c r="A14" s="65">
        <f t="shared" si="1"/>
        <v>12</v>
      </c>
      <c r="B14" s="66" t="str">
        <f>'Sprint Goals'!B13</f>
        <v/>
      </c>
      <c r="C14" s="57"/>
      <c r="D14" s="60">
        <f t="shared" si="2"/>
        <v>0</v>
      </c>
      <c r="E14" s="57">
        <f t="shared" si="3"/>
        <v>0</v>
      </c>
      <c r="F14" s="60">
        <f t="shared" si="4"/>
        <v>0</v>
      </c>
      <c r="G14" s="57">
        <f t="shared" si="5"/>
        <v>34</v>
      </c>
    </row>
    <row r="15">
      <c r="A15" s="65">
        <f t="shared" si="1"/>
        <v>13</v>
      </c>
      <c r="B15" s="58"/>
      <c r="C15" s="57"/>
      <c r="D15" s="60">
        <f t="shared" si="2"/>
        <v>0</v>
      </c>
      <c r="E15" s="57">
        <f t="shared" si="3"/>
        <v>0</v>
      </c>
      <c r="F15" s="60">
        <f t="shared" si="4"/>
        <v>0</v>
      </c>
      <c r="G15" s="57">
        <f t="shared" si="5"/>
        <v>34</v>
      </c>
    </row>
    <row r="16">
      <c r="A16" s="65">
        <f t="shared" si="1"/>
        <v>14</v>
      </c>
      <c r="B16" s="58"/>
      <c r="C16" s="57"/>
      <c r="D16" s="60">
        <f t="shared" si="2"/>
        <v>0</v>
      </c>
      <c r="E16" s="57">
        <f t="shared" si="3"/>
        <v>0</v>
      </c>
      <c r="F16" s="60">
        <f t="shared" si="4"/>
        <v>0</v>
      </c>
      <c r="G16" s="57">
        <f t="shared" si="5"/>
        <v>34</v>
      </c>
    </row>
    <row r="17">
      <c r="A17" s="65">
        <f t="shared" si="1"/>
        <v>15</v>
      </c>
      <c r="B17" s="58"/>
      <c r="C17" s="57"/>
      <c r="D17" s="60">
        <f t="shared" si="2"/>
        <v>0</v>
      </c>
      <c r="E17" s="57">
        <f t="shared" si="3"/>
        <v>0</v>
      </c>
      <c r="F17" s="60">
        <f t="shared" si="4"/>
        <v>0</v>
      </c>
      <c r="G17" s="57">
        <f t="shared" si="5"/>
        <v>34</v>
      </c>
    </row>
    <row r="18">
      <c r="A18" s="65"/>
      <c r="B18" s="58"/>
      <c r="C18" s="57"/>
      <c r="D18" s="57"/>
      <c r="E18" s="57"/>
      <c r="F18" s="57"/>
      <c r="G18" s="57"/>
    </row>
    <row r="19">
      <c r="A19" s="67" t="s">
        <v>136</v>
      </c>
      <c r="B19" s="68"/>
      <c r="C19" s="69"/>
      <c r="D19" s="69"/>
      <c r="E19" s="69"/>
      <c r="F19" s="69"/>
      <c r="G19" s="69"/>
    </row>
    <row r="20">
      <c r="A20" s="65"/>
      <c r="B20" s="58"/>
      <c r="C20" s="57"/>
      <c r="D20" s="57"/>
      <c r="E20" s="57"/>
      <c r="F20" s="57"/>
      <c r="G20" s="57"/>
    </row>
    <row r="21">
      <c r="A21" s="70">
        <f t="shared" ref="A21:B21" si="6">A9</f>
        <v>7</v>
      </c>
      <c r="B21" s="66" t="str">
        <f t="shared" si="6"/>
        <v>Improve Extensibility and Documentation</v>
      </c>
      <c r="C21" s="57"/>
      <c r="D21" s="57"/>
      <c r="E21" s="57"/>
      <c r="F21" s="57"/>
      <c r="G21" s="57"/>
    </row>
    <row r="22">
      <c r="A22" s="70"/>
      <c r="B22" s="66"/>
      <c r="C22" s="73" t="s">
        <v>168</v>
      </c>
      <c r="D22" s="73">
        <v>2.0</v>
      </c>
      <c r="E22" s="57"/>
      <c r="F22" s="57"/>
      <c r="G22" s="57"/>
    </row>
    <row r="23">
      <c r="A23" s="70"/>
      <c r="B23" s="66"/>
      <c r="C23" s="73" t="s">
        <v>169</v>
      </c>
      <c r="D23" s="73">
        <v>3.0</v>
      </c>
      <c r="E23" s="57"/>
      <c r="F23" s="57"/>
      <c r="G23" s="57"/>
    </row>
    <row r="24">
      <c r="A24" s="70"/>
      <c r="B24" s="66"/>
      <c r="C24" s="73" t="s">
        <v>170</v>
      </c>
      <c r="D24" s="73">
        <v>3.0</v>
      </c>
      <c r="E24" s="57"/>
      <c r="F24" s="57"/>
      <c r="G24" s="57"/>
    </row>
    <row r="25">
      <c r="A25" s="70"/>
      <c r="B25" s="66"/>
      <c r="C25" s="73" t="s">
        <v>171</v>
      </c>
      <c r="D25" s="73">
        <v>5.0</v>
      </c>
      <c r="E25" s="57"/>
      <c r="F25" s="57"/>
      <c r="G25" s="57"/>
    </row>
    <row r="26">
      <c r="A26" s="70"/>
      <c r="B26" s="66"/>
      <c r="C26" s="73" t="s">
        <v>172</v>
      </c>
      <c r="D26" s="73">
        <v>3.0</v>
      </c>
      <c r="E26" s="57"/>
      <c r="F26" s="57"/>
      <c r="G26" s="57"/>
    </row>
    <row r="27">
      <c r="A27" s="70"/>
      <c r="B27" s="66"/>
      <c r="C27" s="73" t="s">
        <v>173</v>
      </c>
      <c r="D27" s="73">
        <v>3.0</v>
      </c>
      <c r="E27" s="57"/>
      <c r="F27" s="57"/>
      <c r="G27" s="57"/>
    </row>
    <row r="28">
      <c r="A28" s="70"/>
      <c r="B28" s="66"/>
      <c r="C28" s="73" t="s">
        <v>174</v>
      </c>
      <c r="D28" s="73">
        <v>2.0</v>
      </c>
      <c r="E28" s="57"/>
      <c r="F28" s="57"/>
      <c r="G28" s="57"/>
    </row>
    <row r="29">
      <c r="A29" s="65"/>
      <c r="B29" s="72"/>
      <c r="C29" s="73" t="s">
        <v>175</v>
      </c>
      <c r="D29" s="73">
        <v>2.0</v>
      </c>
      <c r="E29" s="57"/>
      <c r="F29" s="57"/>
      <c r="G29" s="57"/>
    </row>
    <row r="30">
      <c r="A30" s="65"/>
      <c r="B30" s="72"/>
      <c r="C30" s="73" t="s">
        <v>176</v>
      </c>
      <c r="D30" s="73">
        <v>3.0</v>
      </c>
      <c r="E30" s="57"/>
      <c r="F30" s="57"/>
      <c r="G30" s="57"/>
    </row>
    <row r="31">
      <c r="A31" s="65"/>
      <c r="B31" s="72"/>
      <c r="C31" s="73" t="s">
        <v>177</v>
      </c>
      <c r="D31" s="73">
        <v>3.0</v>
      </c>
      <c r="E31" s="57"/>
      <c r="F31" s="57"/>
      <c r="G31" s="57"/>
    </row>
    <row r="32">
      <c r="A32" s="65"/>
      <c r="B32" s="72"/>
      <c r="C32" s="73" t="s">
        <v>178</v>
      </c>
      <c r="D32" s="73">
        <v>5.0</v>
      </c>
      <c r="E32" s="57"/>
      <c r="F32" s="57"/>
      <c r="G32" s="57"/>
    </row>
    <row r="33">
      <c r="A33" s="65"/>
      <c r="B33" s="72"/>
      <c r="C33" s="73"/>
      <c r="D33" s="73"/>
      <c r="E33" s="57"/>
      <c r="F33" s="57"/>
      <c r="G33" s="57"/>
    </row>
    <row r="34">
      <c r="A34" s="70">
        <f t="shared" ref="A34:B34" si="7">A10</f>
        <v>8</v>
      </c>
      <c r="B34" s="66" t="str">
        <f t="shared" si="7"/>
        <v>Refining the overall look and feel</v>
      </c>
      <c r="C34" s="57"/>
      <c r="D34" s="57"/>
      <c r="E34" s="57"/>
      <c r="F34" s="57"/>
      <c r="G34" s="57"/>
    </row>
    <row r="35">
      <c r="A35" s="70">
        <f t="shared" ref="A35:B35" si="8">A11</f>
        <v>9</v>
      </c>
      <c r="B35" s="66" t="str">
        <f t="shared" si="8"/>
        <v/>
      </c>
      <c r="C35" s="73"/>
      <c r="D35" s="73"/>
      <c r="E35" s="57"/>
      <c r="F35" s="73"/>
      <c r="G35" s="57"/>
    </row>
    <row r="36">
      <c r="A36" s="70">
        <f t="shared" ref="A36:B36" si="9">A12</f>
        <v>10</v>
      </c>
      <c r="B36" s="66" t="str">
        <f t="shared" si="9"/>
        <v/>
      </c>
      <c r="C36" s="74"/>
      <c r="D36" s="75"/>
      <c r="E36" s="72"/>
      <c r="F36" s="75"/>
      <c r="G36" s="72"/>
    </row>
    <row r="37">
      <c r="A37" s="70">
        <f t="shared" ref="A37:B37" si="10">A13</f>
        <v>11</v>
      </c>
      <c r="B37" s="66" t="str">
        <f t="shared" si="10"/>
        <v/>
      </c>
      <c r="C37" s="73"/>
      <c r="D37" s="75"/>
      <c r="E37" s="57"/>
      <c r="F37" s="75"/>
      <c r="G37" s="57"/>
    </row>
    <row r="38">
      <c r="A38" s="70">
        <f t="shared" ref="A38:B38" si="11">A14</f>
        <v>12</v>
      </c>
      <c r="B38" s="66" t="str">
        <f t="shared" si="11"/>
        <v/>
      </c>
      <c r="C38" s="74"/>
      <c r="D38" s="75"/>
      <c r="E38" s="72"/>
      <c r="F38" s="75"/>
      <c r="G38" s="72"/>
    </row>
    <row r="39">
      <c r="A39" s="70">
        <f t="shared" ref="A39:B39" si="12">A15</f>
        <v>13</v>
      </c>
      <c r="B39" s="66" t="str">
        <f t="shared" si="12"/>
        <v/>
      </c>
      <c r="C39" s="57"/>
      <c r="D39" s="57"/>
      <c r="E39" s="57"/>
      <c r="F39" s="57"/>
      <c r="G39" s="57"/>
    </row>
    <row r="40">
      <c r="A40" s="70">
        <f t="shared" ref="A40:B40" si="13">A16</f>
        <v>14</v>
      </c>
      <c r="B40" s="66" t="str">
        <f t="shared" si="13"/>
        <v/>
      </c>
      <c r="C40" s="73"/>
      <c r="D40" s="73"/>
      <c r="E40" s="57"/>
      <c r="F40" s="73"/>
      <c r="G40" s="57"/>
    </row>
    <row r="41">
      <c r="A41" s="70">
        <f t="shared" ref="A41:B41" si="14">A17</f>
        <v>15</v>
      </c>
      <c r="B41" s="66" t="str">
        <f t="shared" si="14"/>
        <v/>
      </c>
      <c r="C41" s="74"/>
      <c r="D41" s="75"/>
      <c r="E41" s="72"/>
      <c r="F41" s="74"/>
      <c r="G41" s="72"/>
    </row>
    <row r="42">
      <c r="A42" s="70"/>
      <c r="B42" s="66"/>
      <c r="C42" s="73"/>
      <c r="D42" s="75"/>
      <c r="E42" s="57"/>
      <c r="F42" s="73"/>
      <c r="G42" s="57"/>
    </row>
    <row r="43">
      <c r="A43" s="70"/>
      <c r="B43" s="66"/>
      <c r="C43" s="73"/>
      <c r="D43" s="75"/>
      <c r="E43" s="72"/>
      <c r="F43" s="74"/>
      <c r="G43" s="72"/>
    </row>
    <row r="44">
      <c r="A44" s="70"/>
      <c r="B44" s="66"/>
      <c r="C44" s="76"/>
      <c r="D44" s="75"/>
      <c r="E44" s="57"/>
      <c r="F44" s="73"/>
      <c r="G44" s="57"/>
    </row>
    <row r="45">
      <c r="A45" s="65"/>
      <c r="B45" s="72"/>
      <c r="C45" s="73"/>
      <c r="D45" s="73"/>
      <c r="E45" s="57"/>
      <c r="F45" s="73"/>
      <c r="G45" s="57"/>
    </row>
    <row r="46">
      <c r="A46" s="65"/>
      <c r="B46" s="72"/>
      <c r="C46" s="73"/>
      <c r="D46" s="73"/>
      <c r="E46" s="57"/>
      <c r="F46" s="73"/>
      <c r="G46" s="57"/>
    </row>
    <row r="47">
      <c r="A47" s="77"/>
      <c r="B47" s="71"/>
      <c r="C47" s="57"/>
      <c r="D47" s="57"/>
      <c r="E47" s="57"/>
      <c r="F47" s="57"/>
      <c r="G47" s="57"/>
    </row>
    <row r="48">
      <c r="A48" s="65"/>
      <c r="B48" s="72"/>
      <c r="C48" s="73"/>
      <c r="D48" s="73"/>
      <c r="E48" s="57"/>
      <c r="F48" s="73"/>
      <c r="G48" s="57"/>
    </row>
    <row r="49">
      <c r="A49" s="65"/>
      <c r="B49" s="72"/>
      <c r="C49" s="73"/>
      <c r="D49" s="73"/>
      <c r="E49" s="57"/>
      <c r="F49" s="73"/>
      <c r="G49" s="57"/>
    </row>
    <row r="50">
      <c r="A50" s="65"/>
      <c r="B50" s="72"/>
      <c r="C50" s="73"/>
      <c r="D50" s="73"/>
      <c r="E50" s="57"/>
      <c r="F50" s="73"/>
      <c r="G50" s="57"/>
    </row>
    <row r="51">
      <c r="A51" s="65"/>
      <c r="B51" s="71"/>
      <c r="C51" s="57"/>
      <c r="D51" s="57"/>
      <c r="E51" s="57"/>
      <c r="F51" s="57"/>
      <c r="G51" s="57"/>
    </row>
    <row r="52">
      <c r="A52" s="65"/>
      <c r="B52" s="72"/>
      <c r="C52" s="73"/>
      <c r="D52" s="73"/>
      <c r="E52" s="57"/>
      <c r="F52" s="73"/>
      <c r="G52" s="57"/>
    </row>
    <row r="53">
      <c r="A53" s="65"/>
      <c r="B53" s="72"/>
      <c r="C53" s="73"/>
      <c r="D53" s="73"/>
      <c r="E53" s="57"/>
      <c r="F53" s="73"/>
      <c r="G53" s="57"/>
    </row>
    <row r="54">
      <c r="A54" s="65"/>
      <c r="B54" s="72"/>
      <c r="C54" s="73"/>
      <c r="D54" s="73"/>
      <c r="E54" s="57"/>
      <c r="F54" s="73"/>
      <c r="G54" s="57"/>
    </row>
    <row r="55">
      <c r="A55" s="65"/>
      <c r="B55" s="72"/>
      <c r="C55" s="73"/>
      <c r="D55" s="73"/>
      <c r="E55" s="57"/>
      <c r="F55" s="73"/>
      <c r="G55" s="57"/>
    </row>
    <row r="56">
      <c r="A56" s="65"/>
      <c r="B56" s="72"/>
      <c r="C56" s="73"/>
      <c r="D56" s="73"/>
      <c r="E56" s="57"/>
      <c r="F56" s="73"/>
      <c r="G56" s="57"/>
    </row>
    <row r="57">
      <c r="A57" s="65"/>
      <c r="B57" s="72"/>
      <c r="C57" s="73"/>
      <c r="D57" s="73"/>
      <c r="E57" s="57"/>
      <c r="F57" s="73"/>
      <c r="G57" s="57"/>
    </row>
    <row r="58">
      <c r="A58" s="65"/>
      <c r="B58" s="72"/>
      <c r="C58" s="73"/>
      <c r="D58" s="73"/>
      <c r="E58" s="57"/>
      <c r="F58" s="73"/>
      <c r="G58" s="57"/>
    </row>
    <row r="59">
      <c r="A59" s="65"/>
      <c r="B59" s="72"/>
      <c r="C59" s="73"/>
      <c r="D59" s="73"/>
      <c r="E59" s="57"/>
      <c r="F59" s="73"/>
      <c r="G59" s="57"/>
    </row>
    <row r="60">
      <c r="A60" s="65"/>
      <c r="B60" s="72"/>
      <c r="C60" s="73"/>
      <c r="D60" s="73"/>
      <c r="E60" s="57"/>
      <c r="F60" s="57"/>
      <c r="G60" s="57"/>
    </row>
    <row r="61">
      <c r="A61" s="65"/>
      <c r="B61" s="71"/>
      <c r="C61" s="57"/>
      <c r="D61" s="57"/>
      <c r="E61" s="57"/>
      <c r="F61" s="57"/>
      <c r="G61" s="57"/>
    </row>
    <row r="62">
      <c r="A62" s="65"/>
      <c r="B62" s="72"/>
      <c r="C62" s="73"/>
      <c r="D62" s="73"/>
      <c r="E62" s="57"/>
      <c r="F62" s="57"/>
      <c r="G62" s="57"/>
    </row>
    <row r="63">
      <c r="A63" s="65"/>
      <c r="B63" s="72"/>
      <c r="C63" s="73"/>
      <c r="D63" s="73"/>
      <c r="E63" s="57"/>
      <c r="F63" s="57"/>
      <c r="G63" s="57"/>
    </row>
    <row r="64">
      <c r="A64" s="65"/>
      <c r="B64" s="72"/>
      <c r="C64" s="73"/>
      <c r="D64" s="73"/>
      <c r="E64" s="57"/>
      <c r="F64" s="57"/>
      <c r="G64" s="57"/>
    </row>
    <row r="65">
      <c r="A65" s="65"/>
      <c r="B65" s="72"/>
      <c r="C65" s="73"/>
      <c r="D65" s="73"/>
      <c r="E65" s="57"/>
      <c r="F65" s="57"/>
      <c r="G65" s="57"/>
    </row>
    <row r="66">
      <c r="A66" s="65"/>
      <c r="B66" s="72"/>
      <c r="C66" s="73"/>
      <c r="D66" s="73"/>
      <c r="E66" s="57"/>
      <c r="F66" s="57"/>
      <c r="G66" s="57"/>
    </row>
    <row r="67">
      <c r="A67" s="65"/>
      <c r="B67" s="72"/>
      <c r="C67" s="73"/>
      <c r="D67" s="73"/>
      <c r="E67" s="57"/>
      <c r="F67" s="57"/>
      <c r="G67" s="57"/>
    </row>
    <row r="68">
      <c r="A68" s="65"/>
      <c r="B68" s="72"/>
      <c r="C68" s="73"/>
      <c r="D68" s="73"/>
      <c r="E68" s="57"/>
      <c r="F68" s="57"/>
      <c r="G68" s="57"/>
    </row>
    <row r="69">
      <c r="A69" s="65"/>
      <c r="B69" s="72"/>
      <c r="C69" s="73"/>
      <c r="D69" s="73"/>
      <c r="E69" s="57"/>
      <c r="F69" s="57"/>
      <c r="G69" s="57"/>
    </row>
    <row r="70">
      <c r="A70" s="65"/>
      <c r="B70" s="72"/>
      <c r="C70" s="73"/>
      <c r="D70" s="73"/>
      <c r="E70" s="57"/>
      <c r="F70" s="57"/>
      <c r="G70" s="57"/>
    </row>
    <row r="71">
      <c r="A71" s="65"/>
      <c r="B71" s="72"/>
      <c r="C71" s="73"/>
      <c r="D71" s="73"/>
      <c r="E71" s="57"/>
      <c r="F71" s="57"/>
      <c r="G71" s="57"/>
    </row>
    <row r="72">
      <c r="A72" s="65"/>
      <c r="B72" s="72"/>
      <c r="C72" s="73"/>
      <c r="D72" s="73"/>
      <c r="E72" s="57"/>
      <c r="F72" s="57"/>
      <c r="G72" s="57"/>
    </row>
    <row r="73">
      <c r="A73" s="65"/>
      <c r="B73" s="72"/>
      <c r="C73" s="73"/>
      <c r="D73" s="73"/>
      <c r="E73" s="57"/>
      <c r="F73" s="57"/>
      <c r="G73" s="57"/>
    </row>
    <row r="74">
      <c r="A74" s="65"/>
      <c r="B74" s="72"/>
      <c r="C74" s="73"/>
      <c r="D74" s="73"/>
      <c r="E74" s="57"/>
      <c r="F74" s="57"/>
      <c r="G74" s="57"/>
    </row>
    <row r="75">
      <c r="A75" s="65"/>
      <c r="B75" s="72"/>
      <c r="C75" s="73"/>
      <c r="D75" s="73"/>
      <c r="E75" s="57"/>
      <c r="F75" s="57"/>
      <c r="G75" s="57"/>
    </row>
    <row r="76">
      <c r="A76" s="65"/>
      <c r="B76" s="72"/>
      <c r="C76" s="57"/>
      <c r="D76" s="57"/>
      <c r="E76" s="57"/>
      <c r="F76" s="57"/>
      <c r="G76" s="57"/>
    </row>
    <row r="77">
      <c r="A77" s="65"/>
      <c r="B77" s="72"/>
      <c r="C77" s="57"/>
      <c r="D77" s="57"/>
      <c r="E77" s="57"/>
      <c r="F77" s="57"/>
      <c r="G77" s="57"/>
    </row>
    <row r="78">
      <c r="A78" s="65"/>
      <c r="B78" s="72"/>
      <c r="C78" s="57"/>
      <c r="D78" s="57"/>
      <c r="E78" s="57"/>
      <c r="F78" s="57"/>
      <c r="G78" s="57"/>
    </row>
    <row r="79">
      <c r="A79" s="65"/>
      <c r="B79" s="72"/>
      <c r="C79" s="57"/>
      <c r="D79" s="57"/>
      <c r="E79" s="57"/>
      <c r="F79" s="57"/>
      <c r="G79" s="57"/>
    </row>
    <row r="80">
      <c r="A80" s="65"/>
      <c r="B80" s="72"/>
      <c r="C80" s="57"/>
      <c r="D80" s="57"/>
      <c r="E80" s="57"/>
      <c r="F80" s="57"/>
      <c r="G80" s="57"/>
    </row>
    <row r="81">
      <c r="A81" s="65"/>
      <c r="B81" s="72"/>
      <c r="C81" s="57"/>
      <c r="D81" s="57"/>
      <c r="E81" s="57"/>
      <c r="F81" s="57"/>
      <c r="G81" s="57"/>
    </row>
    <row r="82">
      <c r="A82" s="65"/>
      <c r="B82" s="72"/>
      <c r="C82" s="57"/>
      <c r="D82" s="57"/>
      <c r="E82" s="57"/>
      <c r="F82" s="57"/>
      <c r="G82" s="57"/>
    </row>
    <row r="83">
      <c r="A83" s="65"/>
      <c r="B83" s="72"/>
      <c r="C83" s="57"/>
      <c r="D83" s="57"/>
      <c r="E83" s="57"/>
      <c r="F83" s="57"/>
      <c r="G83" s="57"/>
    </row>
    <row r="84">
      <c r="A84" s="65"/>
      <c r="B84" s="72"/>
      <c r="C84" s="57"/>
      <c r="D84" s="57"/>
      <c r="E84" s="57"/>
      <c r="F84" s="57"/>
      <c r="G84" s="57"/>
    </row>
    <row r="85">
      <c r="A85" s="65"/>
      <c r="B85" s="72"/>
      <c r="C85" s="57"/>
      <c r="D85" s="57"/>
      <c r="E85" s="57"/>
      <c r="F85" s="57"/>
      <c r="G85" s="57"/>
    </row>
    <row r="86">
      <c r="A86" s="65"/>
      <c r="B86" s="72"/>
      <c r="C86" s="57"/>
      <c r="D86" s="57"/>
      <c r="E86" s="57"/>
      <c r="F86" s="57"/>
      <c r="G86" s="57"/>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8"/>
    </row>
    <row r="2">
      <c r="A2" s="78"/>
    </row>
    <row r="3">
      <c r="A3" s="78"/>
    </row>
    <row r="4">
      <c r="A4" s="78"/>
    </row>
    <row r="5">
      <c r="A5" s="78"/>
    </row>
    <row r="6">
      <c r="A6" s="78"/>
    </row>
    <row r="7">
      <c r="A7" s="78"/>
    </row>
    <row r="8">
      <c r="A8" s="78"/>
    </row>
    <row r="9">
      <c r="A9" s="78"/>
    </row>
    <row r="10">
      <c r="A10" s="78"/>
    </row>
    <row r="11">
      <c r="A11" s="78"/>
    </row>
    <row r="12">
      <c r="A12" s="78"/>
    </row>
    <row r="13">
      <c r="A13" s="78"/>
    </row>
    <row r="14">
      <c r="A14" s="78"/>
    </row>
    <row r="15">
      <c r="A15" s="78"/>
    </row>
    <row r="16">
      <c r="A16" s="78"/>
    </row>
    <row r="17">
      <c r="A17" s="78"/>
    </row>
    <row r="18">
      <c r="A18" s="78"/>
    </row>
    <row r="19">
      <c r="A19" s="78"/>
    </row>
    <row r="20">
      <c r="A20" s="78"/>
    </row>
    <row r="21">
      <c r="A21" s="78"/>
    </row>
    <row r="22">
      <c r="A22" s="78"/>
    </row>
    <row r="23">
      <c r="A23" s="78"/>
    </row>
    <row r="24">
      <c r="A24" s="78"/>
    </row>
    <row r="25">
      <c r="A25" s="78"/>
    </row>
    <row r="26">
      <c r="A26" s="78"/>
    </row>
    <row r="27">
      <c r="A27" s="78"/>
    </row>
    <row r="28">
      <c r="A28" s="78"/>
    </row>
    <row r="29">
      <c r="A29" s="78"/>
    </row>
    <row r="30">
      <c r="A30" s="78"/>
    </row>
    <row r="31">
      <c r="A31" s="78"/>
    </row>
    <row r="32">
      <c r="A32" s="78"/>
    </row>
    <row r="33">
      <c r="A33" s="78"/>
    </row>
    <row r="34">
      <c r="A34" s="78"/>
    </row>
    <row r="35">
      <c r="A35" s="78"/>
    </row>
    <row r="36">
      <c r="A36" s="78"/>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9" t="s">
        <v>65</v>
      </c>
      <c r="B1" s="47" t="s">
        <v>179</v>
      </c>
      <c r="C1" s="47" t="s">
        <v>180</v>
      </c>
      <c r="D1" s="80" t="s">
        <v>181</v>
      </c>
    </row>
    <row r="2">
      <c r="A2" s="3"/>
      <c r="B2" s="2" t="s">
        <v>182</v>
      </c>
      <c r="C2" s="2" t="s">
        <v>183</v>
      </c>
      <c r="D2" s="2" t="s">
        <v>184</v>
      </c>
    </row>
    <row r="3">
      <c r="A3" s="3"/>
      <c r="B3" s="2" t="s">
        <v>185</v>
      </c>
      <c r="C3" s="2" t="s">
        <v>186</v>
      </c>
      <c r="D3" s="2" t="s">
        <v>187</v>
      </c>
    </row>
    <row r="4">
      <c r="A4" s="3"/>
      <c r="B4" s="2" t="s">
        <v>188</v>
      </c>
      <c r="C4" s="2" t="s">
        <v>189</v>
      </c>
      <c r="D4" s="2" t="s">
        <v>190</v>
      </c>
    </row>
    <row r="5">
      <c r="A5" s="3"/>
      <c r="B5" s="2" t="s">
        <v>191</v>
      </c>
      <c r="C5" s="3"/>
      <c r="D5" s="3"/>
    </row>
    <row r="6">
      <c r="A6" s="3"/>
      <c r="B6" s="2" t="s">
        <v>192</v>
      </c>
      <c r="C6" s="3"/>
      <c r="D6" s="3"/>
    </row>
    <row r="7">
      <c r="A7" s="3"/>
      <c r="B7" s="2" t="s">
        <v>193</v>
      </c>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194</v>
      </c>
      <c r="B1" s="4" t="s">
        <v>195</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55.38"/>
    <col customWidth="1" min="6" max="6" width="37.63"/>
  </cols>
  <sheetData>
    <row r="1">
      <c r="A1" s="35" t="s">
        <v>65</v>
      </c>
      <c r="B1" s="35" t="s">
        <v>196</v>
      </c>
      <c r="C1" s="35" t="s">
        <v>197</v>
      </c>
      <c r="D1" s="35" t="s">
        <v>198</v>
      </c>
      <c r="E1" s="35" t="s">
        <v>199</v>
      </c>
      <c r="F1" s="35" t="s">
        <v>72</v>
      </c>
    </row>
    <row r="2">
      <c r="A2" s="35">
        <v>1.0</v>
      </c>
      <c r="B2" s="35" t="s">
        <v>200</v>
      </c>
      <c r="C2" s="35" t="s">
        <v>201</v>
      </c>
      <c r="D2" s="35" t="s">
        <v>202</v>
      </c>
      <c r="E2" s="35" t="s">
        <v>203</v>
      </c>
      <c r="F2" s="3"/>
    </row>
    <row r="3">
      <c r="A3" s="35">
        <v>2.0</v>
      </c>
      <c r="B3" s="35" t="s">
        <v>200</v>
      </c>
      <c r="C3" s="35" t="s">
        <v>204</v>
      </c>
      <c r="D3" s="35" t="s">
        <v>202</v>
      </c>
      <c r="E3" s="35" t="s">
        <v>203</v>
      </c>
      <c r="F3" s="3"/>
    </row>
    <row r="4">
      <c r="A4" s="35">
        <v>3.0</v>
      </c>
      <c r="B4" s="35" t="s">
        <v>205</v>
      </c>
      <c r="C4" s="35" t="s">
        <v>206</v>
      </c>
      <c r="D4" s="35" t="s">
        <v>207</v>
      </c>
      <c r="E4" s="35" t="s">
        <v>208</v>
      </c>
    </row>
    <row r="5">
      <c r="A5" s="35">
        <v>4.0</v>
      </c>
      <c r="B5" s="35" t="s">
        <v>205</v>
      </c>
      <c r="C5" s="35" t="s">
        <v>209</v>
      </c>
      <c r="D5" s="35" t="s">
        <v>210</v>
      </c>
      <c r="E5" s="35" t="s">
        <v>208</v>
      </c>
    </row>
    <row r="6">
      <c r="A6" s="35">
        <v>5.0</v>
      </c>
      <c r="B6" s="35" t="s">
        <v>205</v>
      </c>
      <c r="C6" s="35" t="s">
        <v>211</v>
      </c>
      <c r="D6" s="35" t="s">
        <v>212</v>
      </c>
      <c r="E6" s="35" t="s">
        <v>208</v>
      </c>
    </row>
    <row r="7">
      <c r="A7" s="35">
        <v>6.0</v>
      </c>
      <c r="B7" s="35" t="s">
        <v>205</v>
      </c>
      <c r="C7" s="35" t="s">
        <v>213</v>
      </c>
      <c r="D7" s="35" t="s">
        <v>214</v>
      </c>
      <c r="E7" s="35" t="s">
        <v>203</v>
      </c>
    </row>
    <row r="8">
      <c r="A8" s="35">
        <v>7.0</v>
      </c>
      <c r="B8" s="35" t="s">
        <v>205</v>
      </c>
      <c r="C8" s="35" t="s">
        <v>215</v>
      </c>
      <c r="D8" s="35" t="s">
        <v>216</v>
      </c>
      <c r="E8" s="35" t="s">
        <v>217</v>
      </c>
    </row>
    <row r="9">
      <c r="A9" s="35">
        <v>8.0</v>
      </c>
      <c r="B9" s="35" t="s">
        <v>205</v>
      </c>
      <c r="C9" s="35" t="s">
        <v>218</v>
      </c>
      <c r="D9" s="35" t="s">
        <v>219</v>
      </c>
      <c r="E9" s="35" t="s">
        <v>208</v>
      </c>
    </row>
    <row r="10">
      <c r="A10" s="35">
        <v>9.0</v>
      </c>
      <c r="B10" s="35" t="s">
        <v>205</v>
      </c>
      <c r="C10" s="35" t="s">
        <v>220</v>
      </c>
      <c r="D10" s="35" t="s">
        <v>221</v>
      </c>
      <c r="E10" s="35" t="s">
        <v>222</v>
      </c>
    </row>
    <row r="11">
      <c r="A11" s="35">
        <v>10.0</v>
      </c>
      <c r="B11" s="35" t="s">
        <v>205</v>
      </c>
      <c r="C11" s="35" t="s">
        <v>220</v>
      </c>
      <c r="D11" s="35" t="s">
        <v>221</v>
      </c>
      <c r="E11" s="35" t="s">
        <v>222</v>
      </c>
    </row>
    <row r="12">
      <c r="A12" s="35">
        <v>11.0</v>
      </c>
      <c r="B12" s="35" t="s">
        <v>205</v>
      </c>
      <c r="C12" s="35" t="s">
        <v>223</v>
      </c>
      <c r="D12" s="35" t="s">
        <v>224</v>
      </c>
      <c r="E12" s="35" t="s">
        <v>222</v>
      </c>
    </row>
    <row r="13">
      <c r="A13" s="35">
        <v>12.0</v>
      </c>
      <c r="B13" s="35" t="s">
        <v>205</v>
      </c>
      <c r="C13" s="35" t="s">
        <v>225</v>
      </c>
      <c r="D13" s="35" t="s">
        <v>226</v>
      </c>
      <c r="E13" s="35" t="s">
        <v>227</v>
      </c>
    </row>
    <row r="14">
      <c r="A14" s="35">
        <v>13.0</v>
      </c>
      <c r="B14" s="35" t="s">
        <v>205</v>
      </c>
      <c r="C14" s="35" t="s">
        <v>228</v>
      </c>
      <c r="D14" s="35" t="s">
        <v>229</v>
      </c>
      <c r="E14" s="35" t="s">
        <v>203</v>
      </c>
    </row>
    <row r="15">
      <c r="A15" s="35">
        <v>14.0</v>
      </c>
      <c r="B15" s="35" t="s">
        <v>205</v>
      </c>
      <c r="C15" s="35" t="s">
        <v>230</v>
      </c>
      <c r="D15" s="35" t="s">
        <v>231</v>
      </c>
      <c r="E15" s="35" t="s">
        <v>232</v>
      </c>
    </row>
    <row r="16">
      <c r="A16" s="35">
        <v>15.0</v>
      </c>
      <c r="B16" s="35" t="s">
        <v>205</v>
      </c>
      <c r="C16" s="35" t="s">
        <v>233</v>
      </c>
      <c r="D16" s="35" t="s">
        <v>234</v>
      </c>
      <c r="E16" s="35" t="s">
        <v>235</v>
      </c>
    </row>
    <row r="17">
      <c r="A17" s="35">
        <v>16.0</v>
      </c>
      <c r="B17" s="35" t="s">
        <v>205</v>
      </c>
      <c r="C17" s="35" t="s">
        <v>236</v>
      </c>
      <c r="D17" s="35" t="s">
        <v>237</v>
      </c>
      <c r="E17" s="35" t="s">
        <v>208</v>
      </c>
    </row>
    <row r="18">
      <c r="A18" s="35">
        <v>17.0</v>
      </c>
      <c r="B18" s="35" t="s">
        <v>205</v>
      </c>
      <c r="C18" s="35" t="s">
        <v>238</v>
      </c>
      <c r="D18" s="35" t="s">
        <v>239</v>
      </c>
      <c r="E18" s="35" t="s">
        <v>208</v>
      </c>
    </row>
    <row r="19">
      <c r="A19" s="35">
        <v>18.0</v>
      </c>
      <c r="B19" s="35" t="s">
        <v>200</v>
      </c>
      <c r="C19" s="35" t="s">
        <v>240</v>
      </c>
      <c r="D19" s="35" t="s">
        <v>241</v>
      </c>
      <c r="E19" s="35" t="s">
        <v>203</v>
      </c>
    </row>
    <row r="20">
      <c r="A20" s="35">
        <v>19.0</v>
      </c>
      <c r="B20" s="35" t="s">
        <v>200</v>
      </c>
      <c r="C20" s="35" t="s">
        <v>242</v>
      </c>
      <c r="D20" s="35" t="s">
        <v>202</v>
      </c>
      <c r="E20" s="35" t="s">
        <v>203</v>
      </c>
    </row>
    <row r="21">
      <c r="A21" s="35">
        <v>20.0</v>
      </c>
      <c r="B21" s="35" t="s">
        <v>200</v>
      </c>
      <c r="C21" s="35" t="s">
        <v>243</v>
      </c>
      <c r="D21" s="35" t="s">
        <v>244</v>
      </c>
      <c r="E21" s="35" t="s">
        <v>203</v>
      </c>
    </row>
    <row r="22">
      <c r="A22" s="35">
        <v>21.0</v>
      </c>
      <c r="B22" s="35" t="s">
        <v>200</v>
      </c>
      <c r="C22" s="35" t="s">
        <v>245</v>
      </c>
      <c r="D22" s="35" t="s">
        <v>244</v>
      </c>
      <c r="E22" s="35" t="s">
        <v>246</v>
      </c>
    </row>
    <row r="23">
      <c r="A23" s="35">
        <v>22.0</v>
      </c>
      <c r="B23" s="35" t="s">
        <v>200</v>
      </c>
      <c r="C23" s="35" t="s">
        <v>247</v>
      </c>
      <c r="D23" s="35" t="s">
        <v>248</v>
      </c>
      <c r="E23" s="35" t="s">
        <v>203</v>
      </c>
    </row>
    <row r="24">
      <c r="A24" s="35">
        <v>23.0</v>
      </c>
      <c r="B24" s="35" t="s">
        <v>200</v>
      </c>
      <c r="C24" s="35" t="s">
        <v>249</v>
      </c>
      <c r="D24" s="35" t="s">
        <v>250</v>
      </c>
      <c r="E24" s="35" t="s">
        <v>203</v>
      </c>
    </row>
    <row r="25">
      <c r="A25" s="35">
        <v>24.0</v>
      </c>
      <c r="B25" s="35" t="s">
        <v>200</v>
      </c>
      <c r="C25" s="35" t="s">
        <v>251</v>
      </c>
      <c r="D25" s="35" t="s">
        <v>252</v>
      </c>
      <c r="E25" s="35" t="s">
        <v>203</v>
      </c>
    </row>
    <row r="26">
      <c r="A26" s="35">
        <v>25.0</v>
      </c>
      <c r="B26" s="35" t="s">
        <v>253</v>
      </c>
      <c r="C26" s="35" t="s">
        <v>254</v>
      </c>
      <c r="D26" s="35" t="s">
        <v>255</v>
      </c>
      <c r="E26" s="35" t="s">
        <v>203</v>
      </c>
    </row>
    <row r="27">
      <c r="A27" s="35">
        <v>26.0</v>
      </c>
      <c r="B27" s="35" t="s">
        <v>253</v>
      </c>
      <c r="C27" s="35" t="s">
        <v>256</v>
      </c>
      <c r="D27" s="35" t="s">
        <v>257</v>
      </c>
      <c r="E27" s="35" t="s">
        <v>258</v>
      </c>
    </row>
    <row r="28">
      <c r="A28" s="35">
        <v>27.0</v>
      </c>
      <c r="B28" s="35" t="s">
        <v>253</v>
      </c>
      <c r="C28" s="35" t="s">
        <v>259</v>
      </c>
      <c r="D28" s="35" t="s">
        <v>260</v>
      </c>
      <c r="E28" s="35" t="s">
        <v>203</v>
      </c>
    </row>
    <row r="29">
      <c r="A29" s="35">
        <v>28.0</v>
      </c>
      <c r="B29" s="35" t="s">
        <v>253</v>
      </c>
      <c r="C29" s="35" t="s">
        <v>261</v>
      </c>
      <c r="D29" s="35" t="s">
        <v>262</v>
      </c>
      <c r="E29" s="35" t="s">
        <v>203</v>
      </c>
    </row>
    <row r="30">
      <c r="A30" s="35">
        <v>29.0</v>
      </c>
      <c r="B30" s="35" t="s">
        <v>200</v>
      </c>
      <c r="C30" s="35" t="s">
        <v>263</v>
      </c>
      <c r="D30" s="35" t="s">
        <v>264</v>
      </c>
      <c r="E30" s="35" t="s">
        <v>203</v>
      </c>
    </row>
    <row r="31">
      <c r="A31" s="35">
        <v>30.0</v>
      </c>
      <c r="B31" s="35" t="s">
        <v>200</v>
      </c>
      <c r="C31" s="35" t="s">
        <v>265</v>
      </c>
      <c r="D31" s="35" t="s">
        <v>266</v>
      </c>
      <c r="E31" s="35" t="s">
        <v>203</v>
      </c>
    </row>
    <row r="32">
      <c r="A32" s="35">
        <v>31.0</v>
      </c>
      <c r="B32" s="35" t="s">
        <v>253</v>
      </c>
      <c r="C32" s="35" t="s">
        <v>267</v>
      </c>
      <c r="D32" s="35" t="s">
        <v>268</v>
      </c>
      <c r="E32" s="35" t="s">
        <v>203</v>
      </c>
    </row>
    <row r="33">
      <c r="A33" s="35">
        <v>32.0</v>
      </c>
      <c r="B33" s="35" t="s">
        <v>253</v>
      </c>
      <c r="C33" s="35" t="s">
        <v>269</v>
      </c>
      <c r="D33" s="35" t="s">
        <v>270</v>
      </c>
      <c r="E33" s="35" t="s">
        <v>232</v>
      </c>
    </row>
    <row r="34">
      <c r="A34" s="35">
        <v>33.0</v>
      </c>
      <c r="B34" s="35" t="s">
        <v>253</v>
      </c>
      <c r="C34" s="35" t="s">
        <v>271</v>
      </c>
      <c r="D34" s="35" t="s">
        <v>272</v>
      </c>
      <c r="E34" s="35" t="s">
        <v>273</v>
      </c>
    </row>
    <row r="35">
      <c r="A35" s="35">
        <v>34.0</v>
      </c>
      <c r="B35" s="35" t="s">
        <v>253</v>
      </c>
      <c r="C35" s="35" t="s">
        <v>274</v>
      </c>
      <c r="D35" s="35" t="s">
        <v>275</v>
      </c>
      <c r="E35" s="35" t="s">
        <v>203</v>
      </c>
    </row>
    <row r="36">
      <c r="A36" s="35">
        <v>35.0</v>
      </c>
      <c r="B36" s="35" t="s">
        <v>200</v>
      </c>
      <c r="C36" s="35" t="s">
        <v>276</v>
      </c>
      <c r="D36" s="35" t="s">
        <v>277</v>
      </c>
      <c r="E36" s="35" t="s">
        <v>203</v>
      </c>
    </row>
    <row r="37">
      <c r="A37" s="35">
        <v>36.0</v>
      </c>
      <c r="B37" s="35" t="s">
        <v>200</v>
      </c>
      <c r="C37" s="35" t="s">
        <v>278</v>
      </c>
      <c r="D37" s="35" t="s">
        <v>279</v>
      </c>
      <c r="E37" s="35" t="s">
        <v>232</v>
      </c>
    </row>
    <row r="38">
      <c r="A38" s="35">
        <v>37.0</v>
      </c>
      <c r="B38" s="35" t="s">
        <v>200</v>
      </c>
      <c r="C38" s="35" t="s">
        <v>280</v>
      </c>
      <c r="D38" s="35" t="s">
        <v>281</v>
      </c>
      <c r="E38" s="35" t="s">
        <v>203</v>
      </c>
    </row>
    <row r="39">
      <c r="A39" s="35">
        <v>38.0</v>
      </c>
      <c r="B39" s="35" t="s">
        <v>200</v>
      </c>
      <c r="C39" s="35" t="s">
        <v>282</v>
      </c>
      <c r="D39" s="35" t="s">
        <v>283</v>
      </c>
      <c r="E39" s="35" t="s">
        <v>203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1" t="str">
        <f>'Project Team'!A1</f>
        <v>Last Name</v>
      </c>
      <c r="B1" s="81" t="str">
        <f>'Project Team'!B1</f>
        <v>First Name</v>
      </c>
      <c r="C1" s="82" t="s">
        <v>284</v>
      </c>
      <c r="D1" s="83"/>
      <c r="E1" s="84"/>
      <c r="F1" s="85"/>
      <c r="G1" s="86"/>
      <c r="H1" s="86"/>
    </row>
    <row r="2">
      <c r="C2" s="87"/>
      <c r="D2" s="88"/>
      <c r="E2" s="89" t="str">
        <f>AVERAGE(C2:C8)</f>
        <v>#DIV/0!</v>
      </c>
      <c r="F2" s="90" t="str">
        <f>if(stdev(C2:C5) &gt; 0,"NOK", "OK")</f>
        <v>#DIV/0!</v>
      </c>
      <c r="G2" s="91"/>
      <c r="H2" s="91"/>
    </row>
    <row r="3">
      <c r="A3" s="92" t="str">
        <f>'Project Team'!A3</f>
        <v>Samdani</v>
      </c>
      <c r="B3" s="92" t="str">
        <f>'Project Team'!B3</f>
        <v>Sarib</v>
      </c>
      <c r="C3" s="93"/>
      <c r="D3" s="94"/>
      <c r="G3" s="95"/>
      <c r="H3" s="95"/>
    </row>
    <row r="4">
      <c r="A4" s="96" t="str">
        <f>'Project Team'!A4</f>
        <v>Chinbat</v>
      </c>
      <c r="B4" s="96" t="str">
        <f>'Project Team'!B4</f>
        <v>Anuun</v>
      </c>
      <c r="C4" s="93"/>
      <c r="D4" s="88"/>
      <c r="G4" s="91"/>
      <c r="H4" s="91"/>
    </row>
    <row r="5">
      <c r="A5" s="92" t="str">
        <f>'Project Team'!A7</f>
        <v>Badura</v>
      </c>
      <c r="B5" s="92" t="str">
        <f>'Project Team'!B7</f>
        <v>Emil</v>
      </c>
      <c r="C5" s="93"/>
      <c r="D5" s="97"/>
      <c r="E5" s="97"/>
      <c r="F5" s="97"/>
      <c r="G5" s="95"/>
      <c r="H5" s="95"/>
    </row>
    <row r="6">
      <c r="A6" s="96" t="str">
        <f>'Project Team'!A8</f>
        <v>Assenbaum</v>
      </c>
      <c r="B6" s="96" t="str">
        <f>'Project Team'!B8</f>
        <v>Paul</v>
      </c>
      <c r="C6" s="93"/>
      <c r="D6" s="98"/>
      <c r="E6" s="99">
        <v>0.0</v>
      </c>
      <c r="F6" s="100" t="s">
        <v>285</v>
      </c>
      <c r="G6" s="91"/>
      <c r="H6" s="91"/>
    </row>
    <row r="7">
      <c r="A7" s="92" t="str">
        <f>'Project Team'!A9</f>
        <v>Mantsch</v>
      </c>
      <c r="B7" s="92" t="str">
        <f>'Project Team'!B9</f>
        <v>Christoph</v>
      </c>
      <c r="C7" s="93"/>
      <c r="D7" s="97"/>
      <c r="E7" s="99">
        <v>1.0</v>
      </c>
      <c r="F7" s="100" t="s">
        <v>286</v>
      </c>
      <c r="G7" s="95"/>
      <c r="H7" s="95"/>
    </row>
    <row r="8">
      <c r="A8" s="101" t="s">
        <v>60</v>
      </c>
      <c r="B8" s="101" t="s">
        <v>61</v>
      </c>
      <c r="C8" s="93"/>
      <c r="D8" s="98"/>
      <c r="E8" s="99">
        <v>2.0</v>
      </c>
      <c r="F8" s="100" t="s">
        <v>287</v>
      </c>
      <c r="G8" s="91"/>
      <c r="H8" s="91"/>
    </row>
    <row r="9">
      <c r="D9" s="97"/>
      <c r="E9" s="99">
        <v>3.0</v>
      </c>
      <c r="F9" s="100" t="s">
        <v>288</v>
      </c>
      <c r="G9" s="95"/>
      <c r="H9" s="95"/>
    </row>
    <row r="10">
      <c r="A10" s="96" t="str">
        <f>'Project Team'!A2</f>
        <v>Hilgers</v>
      </c>
      <c r="B10" s="96" t="str">
        <f>'Project Team'!B2</f>
        <v>Felix</v>
      </c>
      <c r="D10" s="98"/>
      <c r="E10" s="99">
        <v>5.0</v>
      </c>
      <c r="F10" s="100" t="s">
        <v>289</v>
      </c>
      <c r="G10" s="91"/>
      <c r="H10" s="91"/>
    </row>
    <row r="11">
      <c r="A11" s="92" t="str">
        <f>'Project Team'!A5</f>
        <v>Goldschmidt</v>
      </c>
      <c r="B11" s="92" t="str">
        <f>'Project Team'!B5</f>
        <v>Georgina</v>
      </c>
      <c r="C11" s="102"/>
      <c r="D11" s="97"/>
      <c r="E11" s="99">
        <v>8.0</v>
      </c>
      <c r="F11" s="100" t="s">
        <v>290</v>
      </c>
      <c r="G11" s="95"/>
      <c r="H11" s="95"/>
    </row>
    <row r="12">
      <c r="A12" s="96" t="str">
        <f>'Project Team'!A6</f>
        <v>Zinn</v>
      </c>
      <c r="B12" s="101" t="s">
        <v>45</v>
      </c>
      <c r="C12" s="103"/>
      <c r="D12" s="98"/>
      <c r="E12" s="99">
        <v>13.0</v>
      </c>
      <c r="F12" s="100" t="s">
        <v>291</v>
      </c>
      <c r="G12" s="91"/>
      <c r="H12" s="91"/>
    </row>
    <row r="13">
      <c r="C13" s="97"/>
      <c r="D13" s="97"/>
      <c r="E13" s="97"/>
      <c r="F13" s="97"/>
      <c r="G13" s="95"/>
      <c r="H13" s="95"/>
    </row>
    <row r="14">
      <c r="A14" s="104" t="s">
        <v>292</v>
      </c>
      <c r="B14" s="105"/>
      <c r="C14" s="105"/>
      <c r="D14" s="105"/>
      <c r="E14" s="105"/>
      <c r="F14" s="105"/>
      <c r="G14" s="105"/>
      <c r="H14" s="105"/>
    </row>
    <row r="15">
      <c r="A15" s="106"/>
      <c r="B15" s="106"/>
      <c r="C15" s="106"/>
      <c r="D15" s="106"/>
      <c r="E15" s="106"/>
      <c r="F15" s="106"/>
      <c r="G15" s="106"/>
      <c r="H15" s="106"/>
    </row>
    <row r="16">
      <c r="A16" s="107" t="s">
        <v>293</v>
      </c>
      <c r="B16" s="108"/>
      <c r="C16" s="108"/>
      <c r="D16" s="108"/>
      <c r="E16" s="108"/>
      <c r="F16" s="108"/>
      <c r="G16" s="108"/>
      <c r="H16" s="108"/>
    </row>
    <row r="17">
      <c r="A17" s="109" t="s">
        <v>294</v>
      </c>
      <c r="B17" s="106"/>
      <c r="C17" s="106"/>
      <c r="D17" s="106"/>
      <c r="E17" s="106"/>
      <c r="F17" s="106"/>
      <c r="G17" s="106"/>
      <c r="H17" s="106"/>
    </row>
    <row r="18">
      <c r="A18" s="107" t="s">
        <v>295</v>
      </c>
      <c r="B18" s="108"/>
      <c r="C18" s="108"/>
      <c r="D18" s="108"/>
      <c r="E18" s="108"/>
      <c r="F18" s="108"/>
      <c r="G18" s="108"/>
      <c r="H18" s="108"/>
    </row>
    <row r="19">
      <c r="A19" s="106"/>
      <c r="B19" s="106"/>
      <c r="C19" s="106"/>
      <c r="D19" s="106"/>
      <c r="E19" s="106"/>
      <c r="F19" s="106"/>
      <c r="G19" s="110" t="s">
        <v>296</v>
      </c>
      <c r="H19" s="106"/>
    </row>
    <row r="20">
      <c r="A20" s="108"/>
      <c r="B20" s="108"/>
      <c r="C20" s="108"/>
      <c r="D20" s="108"/>
      <c r="E20" s="108"/>
      <c r="F20" s="108"/>
      <c r="G20" s="108"/>
      <c r="H20" s="10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