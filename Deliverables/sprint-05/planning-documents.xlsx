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 Data" sheetId="1" r:id="rId3"/>
    <sheet state="visible" name="Project Team" sheetId="2" r:id="rId4"/>
    <sheet state="visible" name="Role Assignments" sheetId="3" r:id="rId5"/>
    <sheet state="visible" name="Team Contract" sheetId="4" r:id="rId6"/>
    <sheet state="visible" name="Product Goal" sheetId="5" r:id="rId7"/>
    <sheet state="visible" name="Product Glossary" sheetId="6" r:id="rId8"/>
    <sheet state="visible" name="Sprint Goals" sheetId="7" r:id="rId9"/>
    <sheet state="visible" name="Velocity Tracking" sheetId="8" r:id="rId10"/>
    <sheet state="visible" name="Velocity Chart" sheetId="9" r:id="rId11"/>
    <sheet state="visible" name="Mid-Project Release plan" sheetId="10" r:id="rId12"/>
    <sheet state="visible" name="Burndown Chart" sheetId="11" r:id="rId13"/>
    <sheet state="visible" name="Final Project Release plan" sheetId="12" r:id="rId14"/>
    <sheet state="visible" name="Definition of Done" sheetId="13" r:id="rId15"/>
    <sheet state="visible" name="Documentation" sheetId="14" r:id="rId16"/>
    <sheet state="visible" name="Bill of Materials" sheetId="15" r:id="rId17"/>
    <sheet state="visible" name="Planning Poker" sheetId="16" r:id="rId18"/>
  </sheets>
  <definedNames>
    <definedName name="Average">'Velocity Tracking'!$B$17</definedName>
  </definedNames>
  <calcPr/>
</workbook>
</file>

<file path=xl/sharedStrings.xml><?xml version="1.0" encoding="utf-8"?>
<sst xmlns="http://schemas.openxmlformats.org/spreadsheetml/2006/main" count="569" uniqueCount="344">
  <si>
    <t>Project Name</t>
  </si>
  <si>
    <t>Robot Visual Perception</t>
  </si>
  <si>
    <t>Online team meeting</t>
  </si>
  <si>
    <t>https://fau.zoom-x.de/j/62836031488</t>
  </si>
  <si>
    <t>Production system (if any)</t>
  </si>
  <si>
    <t>Service Provided (later in the Project)</t>
  </si>
  <si>
    <t>Test system (if any)</t>
  </si>
  <si>
    <t>Local Webcam</t>
  </si>
  <si>
    <t>GitHub repository</t>
  </si>
  <si>
    <t>https://github.com/amosproj/amos2025ws04-robot-visual-perception</t>
  </si>
  <si>
    <t>GitHub feature board</t>
  </si>
  <si>
    <t>https://github.com/orgs/amosproj/projects/92</t>
  </si>
  <si>
    <t>GitHub imp-squared backlog</t>
  </si>
  <si>
    <t>https://github.com/orgs/amosproj/projects/95</t>
  </si>
  <si>
    <t>Team T-shirt (white)</t>
  </si>
  <si>
    <t>https://www.shirtinator.de/s/E_eIf-ElT4iidRVnqM8J5w</t>
  </si>
  <si>
    <t>Team T-shirt (black)</t>
  </si>
  <si>
    <t>https://www.shirtinator.de/s/R0CANDdWTRCOvCohq_encA</t>
  </si>
  <si>
    <t>Additional materials</t>
  </si>
  <si>
    <t>https://discord.gg/VDqD2Zfb</t>
  </si>
  <si>
    <t>Team maling list</t>
  </si>
  <si>
    <t>oss-amos-proj4@lists.fau.de</t>
  </si>
  <si>
    <r>
      <rPr>
        <rFont val="'Times New Roman',serif"/>
        <color rgb="FF1155CC"/>
        <sz val="11.0"/>
        <u/>
      </rPr>
      <t>https://happy-amos.appspot.com/</t>
    </r>
  </si>
  <si>
    <t>Please use our mailing list for written communication. Only CC teachers (university) and coaches on specific topics, as the mailing lists are very long.</t>
  </si>
  <si>
    <t>Last Name</t>
  </si>
  <si>
    <t>First Name</t>
  </si>
  <si>
    <t>GitHub User Name</t>
  </si>
  <si>
    <t>Email Address</t>
  </si>
  <si>
    <t>Hilgers</t>
  </si>
  <si>
    <t>Felix</t>
  </si>
  <si>
    <t>fhilgers</t>
  </si>
  <si>
    <t>felix.hilgers@fau.de</t>
  </si>
  <si>
    <t>Samdani</t>
  </si>
  <si>
    <t>Sarib</t>
  </si>
  <si>
    <t>saribx</t>
  </si>
  <si>
    <t>saribstudent@gmail.com</t>
  </si>
  <si>
    <t>Chinbat</t>
  </si>
  <si>
    <t>Anuun</t>
  </si>
  <si>
    <t>anuunchin</t>
  </si>
  <si>
    <r>
      <rPr>
        <color rgb="FF1155CC"/>
        <u/>
      </rPr>
      <t>anuun.ch</t>
    </r>
    <r>
      <rPr/>
      <t>@gmail.com</t>
    </r>
  </si>
  <si>
    <t>Goldschmidt</t>
  </si>
  <si>
    <t>Georgina</t>
  </si>
  <si>
    <t>bu31punu</t>
  </si>
  <si>
    <t>dzsini.lost@gmail.com</t>
  </si>
  <si>
    <t>Zinn</t>
  </si>
  <si>
    <t>Benedikt</t>
  </si>
  <si>
    <t>BenediktZinn</t>
  </si>
  <si>
    <t>benedikt.wh.zinn@gmail.com</t>
  </si>
  <si>
    <t>Badura</t>
  </si>
  <si>
    <t>Emil</t>
  </si>
  <si>
    <t>Tenebrae311</t>
  </si>
  <si>
    <t>badura@tu-berlin.de</t>
  </si>
  <si>
    <t>Assenbaum</t>
  </si>
  <si>
    <t>Paul</t>
  </si>
  <si>
    <t>Paul2607</t>
  </si>
  <si>
    <t>paul.assenbaum@fau.de</t>
  </si>
  <si>
    <t>Mantsch</t>
  </si>
  <si>
    <t>Christoph</t>
  </si>
  <si>
    <t>Christoph-Mantsch</t>
  </si>
  <si>
    <t>christoph.cm.mantsch@fau.de</t>
  </si>
  <si>
    <t>Asadi</t>
  </si>
  <si>
    <t>Zohreh</t>
  </si>
  <si>
    <t>zohrehasadi00</t>
  </si>
  <si>
    <t>z.asadi@campus.tu-berlin.de</t>
  </si>
  <si>
    <t>Product Owner</t>
  </si>
  <si>
    <t>#</t>
  </si>
  <si>
    <t>Meeting Day</t>
  </si>
  <si>
    <t>Review</t>
  </si>
  <si>
    <t>Planning</t>
  </si>
  <si>
    <t>Software Developer</t>
  </si>
  <si>
    <t>Release Manager</t>
  </si>
  <si>
    <t>Scrum Master</t>
  </si>
  <si>
    <t>Comment</t>
  </si>
  <si>
    <t>Felix Hilgers</t>
  </si>
  <si>
    <t>Benedikt Zinn</t>
  </si>
  <si>
    <t>Everyone else</t>
  </si>
  <si>
    <t>Paul Assenbaum</t>
  </si>
  <si>
    <t>Georgina Goldschmidt</t>
  </si>
  <si>
    <t>(Tuesday 21. Discord for Release process example)</t>
  </si>
  <si>
    <t>Anuun Chinbat</t>
  </si>
  <si>
    <t>Sarib Samdani</t>
  </si>
  <si>
    <t>Emil Badura</t>
  </si>
  <si>
    <t>Mid-term due</t>
  </si>
  <si>
    <t>Christoph Mantsch</t>
  </si>
  <si>
    <t>Zohreh Asadi</t>
  </si>
  <si>
    <t>Demo day!</t>
  </si>
  <si>
    <t>Retrospective</t>
  </si>
  <si>
    <t>Product owners, software developers, and Scurm Master are set and ideally don't change over time; the critical part is the Release Manager role you need to define here</t>
  </si>
  <si>
    <t>Goals</t>
  </si>
  <si>
    <t>Development of a visual perception system for robots with an accuracy of &gt;= 90%</t>
  </si>
  <si>
    <t>Meeting norms</t>
  </si>
  <si>
    <t xml:space="preserve">Zoom-Meetings in the meeting room of the university. 
Joining the meeting is mandatory, with exceptions (like sickness, etc.).
As an exception, showing up to 10 minutes late is fine if the team is informed via discord.
Happiness Index: has to be completed at the end of the meeting (amos happy).
Stand-up-mails: containing -&gt; things done, problems encountered, things up next.
 -&gt; For SDs: min 2x per week
 -&gt; For POs: min 1x per week
</t>
  </si>
  <si>
    <t>Working norms</t>
  </si>
  <si>
    <t>Issues on Github in the “Feature board” project of the repository.
Definition of Done: If specified in the issue that the feature has to be tested, tests have to be written for that feature, documented (in code or later in the wiki)
Git-branches:
The latest commit on the main-branch has to be tagged.
Only 2 “in progress” tickets per person at one time.</t>
  </si>
  <si>
    <t>Coordination norms</t>
  </si>
  <si>
    <t>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t>
  </si>
  <si>
    <t>Communication norms</t>
  </si>
  <si>
    <t xml:space="preserve">Developers can create issues but not put them onto the “Feature board”.
If blocked by a different task, discuss it as soon as possible.
Communication should happen via Discord &amp; mail. 
Criticism should be constructive. Language should be respectful at all times, both verbal and written communication.
</t>
  </si>
  <si>
    <t>Consideration norms</t>
  </si>
  <si>
    <t>Cont. improvement norms</t>
  </si>
  <si>
    <t>Rewards</t>
  </si>
  <si>
    <t>Online coffee or lunch meet at some point.</t>
  </si>
  <si>
    <t>Sanctions</t>
  </si>
  <si>
    <t>Document absence. Repeated absence is addressed with the missing person directly but will later be escalated to professors.</t>
  </si>
  <si>
    <t>Signatures</t>
  </si>
  <si>
    <t>Product owner</t>
  </si>
  <si>
    <t>Software developer</t>
  </si>
  <si>
    <t>Product Vision</t>
  </si>
  <si>
    <t>Project Mission</t>
  </si>
  <si>
    <t>Optibot helps people when operating robots equipped with a single camera.
It gives real-time distance estimates for known objects inside the field of view of said camera without relying on other sensors.
The software stack is easy to integrate with already existing WebRTC based systems, making it easy to enhance existing robot networks.</t>
  </si>
  <si>
    <t>The mission of this project is to create a containerized system that processes a WebRTC stream as an input and outputs a stream of metadata.
This metadata will contain the objects detected in a certain frame of the video stream, their bounding boxes in the image &amp; the estimated distance.
This information can be overlayed over the existing video stream in a React component. All components of the project have well definied interfaces and can easily be integrated into existing architectures.</t>
  </si>
  <si>
    <t>Term</t>
  </si>
  <si>
    <t>Definition</t>
  </si>
  <si>
    <t>Sprint #</t>
  </si>
  <si>
    <t>Sprint goal</t>
  </si>
  <si>
    <t>Meeting with industry partner and getting things started (and the T-shirt of course)</t>
  </si>
  <si>
    <t>Start work on individual components and research unclear topics</t>
  </si>
  <si>
    <t>Combining components into a first working prototype</t>
  </si>
  <si>
    <t>Refining prototype and splitting out components</t>
  </si>
  <si>
    <t>Finishing the Implementation of the Initial Architecture</t>
  </si>
  <si>
    <t>Story Points Realized</t>
  </si>
  <si>
    <t>Average</t>
  </si>
  <si>
    <t>Sprint</t>
  </si>
  <si>
    <t>Goal</t>
  </si>
  <si>
    <t>Feature Name</t>
  </si>
  <si>
    <t>Est. size</t>
  </si>
  <si>
    <t>Est. remaining</t>
  </si>
  <si>
    <t>Real size</t>
  </si>
  <si>
    <t>Real remaining</t>
  </si>
  <si>
    <t>Release</t>
  </si>
  <si>
    <t>Total</t>
  </si>
  <si>
    <t>Sprints</t>
  </si>
  <si>
    <t>Estimated burn-down</t>
  </si>
  <si>
    <t>Real burn-down</t>
  </si>
  <si>
    <t>Features</t>
  </si>
  <si>
    <t>Setup Architecture</t>
  </si>
  <si>
    <t>Serve Webcam as WebRTC stream</t>
  </si>
  <si>
    <t>Setup Initial CI Pipeline</t>
  </si>
  <si>
    <t>Discuss Team Distribution Preferences</t>
  </si>
  <si>
    <t>Keep BOM up to date</t>
  </si>
  <si>
    <t>Setup REUSE licensing</t>
  </si>
  <si>
    <t>Update Architecture document</t>
  </si>
  <si>
    <t>Create Object Detection Example</t>
  </si>
  <si>
    <t>Prepare Build Process Review</t>
  </si>
  <si>
    <t>Prepare Depth Estimation</t>
  </si>
  <si>
    <t>Research Object and Depth Estimation</t>
  </si>
  <si>
    <t>Metadata Transport</t>
  </si>
  <si>
    <t>Split Backend Responsibilities</t>
  </si>
  <si>
    <t>Improve Code Quality</t>
  </si>
  <si>
    <t>Remove Redundant Calculations</t>
  </si>
  <si>
    <t>Automate SBOM Generation</t>
  </si>
  <si>
    <t>Utilize Library for detecting Object dimensions</t>
  </si>
  <si>
    <t>Create a React Video Component</t>
  </si>
  <si>
    <t>Investigate and Fix startup TIme</t>
  </si>
  <si>
    <t>Fix Windows Development setup</t>
  </si>
  <si>
    <t>Create a React Video Overlay</t>
  </si>
  <si>
    <t>Build Process Video</t>
  </si>
  <si>
    <t>Setup Docker Compose</t>
  </si>
  <si>
    <t>Update Container Images</t>
  </si>
  <si>
    <t>Use Metadata in the Frontend for Drawing the Overlay</t>
  </si>
  <si>
    <t>Create Initial Video Router / Dispatching Service</t>
  </si>
  <si>
    <t>Separate Model Downloading from Running</t>
  </si>
  <si>
    <t>...</t>
  </si>
  <si>
    <t>PLEASE CREATE THE BURNDOWN CHART ON A NEW TAB USING THE DATA FROM THIS TAB</t>
  </si>
  <si>
    <t>Feature Definition of Done</t>
  </si>
  <si>
    <t>Sprint Release Definition of Done</t>
  </si>
  <si>
    <t>Project Release Definition of Done</t>
  </si>
  <si>
    <t>Code has been reviewed by at least one SD</t>
  </si>
  <si>
    <t>All Software Components are functioning</t>
  </si>
  <si>
    <t>Architecture documentation has been updated</t>
  </si>
  <si>
    <t>Feature has been reviewed by at least one PO</t>
  </si>
  <si>
    <t>Sprint release notes have been generated from all merge-requests since the last release</t>
  </si>
  <si>
    <t>Tests exist for all mayor features</t>
  </si>
  <si>
    <t>Build scripts have been adapted if necessary</t>
  </si>
  <si>
    <t>All container communication is working</t>
  </si>
  <si>
    <t>All tests are passing</t>
  </si>
  <si>
    <t>CI Pipeline Passes</t>
  </si>
  <si>
    <t>Code has been merged to main</t>
  </si>
  <si>
    <t>BOM has been updated if necessary</t>
  </si>
  <si>
    <t>Type</t>
  </si>
  <si>
    <t>Link / reference</t>
  </si>
  <si>
    <t>Context</t>
  </si>
  <si>
    <t>Name</t>
  </si>
  <si>
    <t>Version</t>
  </si>
  <si>
    <t>License</t>
  </si>
  <si>
    <t>Status</t>
  </si>
  <si>
    <t>Change Info</t>
  </si>
  <si>
    <t>Frontend (React UI)</t>
  </si>
  <si>
    <t>npm:react</t>
  </si>
  <si>
    <t>18.3.1</t>
  </si>
  <si>
    <t>MIT</t>
  </si>
  <si>
    <t>UI framework</t>
  </si>
  <si>
    <t>In Use</t>
  </si>
  <si>
    <t>npm:react-dom</t>
  </si>
  <si>
    <t>DOM renderer for React</t>
  </si>
  <si>
    <t>npm:typescript</t>
  </si>
  <si>
    <t>5.6.3</t>
  </si>
  <si>
    <t>Apache-2.0</t>
  </si>
  <si>
    <t>Type system for JavaScript</t>
  </si>
  <si>
    <t>Version updated: 5.4.5 → 5.6.3</t>
  </si>
  <si>
    <t>npm:vite</t>
  </si>
  <si>
    <t>6.0.3</t>
  </si>
  <si>
    <t>Build tool and dev server</t>
  </si>
  <si>
    <t>Version updated: 5.2.0 → 6.0.3</t>
  </si>
  <si>
    <t>npm:websocket</t>
  </si>
  <si>
    <t>1.0.35</t>
  </si>
  <si>
    <t>WebSocket client for metadata</t>
  </si>
  <si>
    <t>Planned</t>
  </si>
  <si>
    <t>npm:webrtc-adapter</t>
  </si>
  <si>
    <t>9.1.2</t>
  </si>
  <si>
    <t>BSD-3-Clause</t>
  </si>
  <si>
    <t>Cross-browser WebRTC compatibility</t>
  </si>
  <si>
    <t>npm:axios</t>
  </si>
  <si>
    <t>1.7.2</t>
  </si>
  <si>
    <t>HTTP client for REST API</t>
  </si>
  <si>
    <t>npm: zustand</t>
  </si>
  <si>
    <t>4.5.3</t>
  </si>
  <si>
    <t>State management</t>
  </si>
  <si>
    <t>npm:three</t>
  </si>
  <si>
    <t>0.169.0</t>
  </si>
  <si>
    <t>for 3D-visualization</t>
  </si>
  <si>
    <t>Planned (optional)</t>
  </si>
  <si>
    <t>npm:@types/react</t>
  </si>
  <si>
    <t>18.3.12</t>
  </si>
  <si>
    <t>TypeScript definitions for React</t>
  </si>
  <si>
    <t>New component</t>
  </si>
  <si>
    <t>npm:@types/react-dom</t>
  </si>
  <si>
    <t>TypeScript definitions for React DOM</t>
  </si>
  <si>
    <t>npm:@vitejs/plugin-react</t>
  </si>
  <si>
    <t>4.3.4</t>
  </si>
  <si>
    <t>Vite plugin for React support</t>
  </si>
  <si>
    <t>npm:eslint</t>
  </si>
  <si>
    <t>9.17.0</t>
  </si>
  <si>
    <t>Code linting</t>
  </si>
  <si>
    <t>npm:prettier</t>
  </si>
  <si>
    <t>3.4.2</t>
  </si>
  <si>
    <t>Code formatting</t>
  </si>
  <si>
    <t>npm:vitest</t>
  </si>
  <si>
    <t>2.1.5</t>
  </si>
  <si>
    <t>Unit testing framework</t>
  </si>
  <si>
    <t>npm:@typescript-eslint/eslint-plugin</t>
  </si>
  <si>
    <t>8.16.0</t>
  </si>
  <si>
    <t>ESLint rules for TypeScript</t>
  </si>
  <si>
    <t>npm:@typescript-eslint/parser</t>
  </si>
  <si>
    <t>TypeScript parser for ESLint</t>
  </si>
  <si>
    <t>Backend (FastAPI API)</t>
  </si>
  <si>
    <t>pypi:uvicorn</t>
  </si>
  <si>
    <t>0.38.0</t>
  </si>
  <si>
    <t>ASGI server for FastAPI</t>
  </si>
  <si>
    <t>Version updated: 0.30.1 → 0.38.0</t>
  </si>
  <si>
    <t>pypi:fastapi</t>
  </si>
  <si>
    <t>0.115.10</t>
  </si>
  <si>
    <t>Web framework for API</t>
  </si>
  <si>
    <t>Version updated: 0.115.2 → 0.115.10</t>
  </si>
  <si>
    <t>pypi:websockets</t>
  </si>
  <si>
    <t>WebSocket server for real-time metadata</t>
  </si>
  <si>
    <t>pypi:grpcio</t>
  </si>
  <si>
    <t>1.66.1</t>
  </si>
  <si>
    <t>gRPC for AI service communication</t>
  </si>
  <si>
    <t>pypi:httpx</t>
  </si>
  <si>
    <t>0.27.0</t>
  </si>
  <si>
    <t>Async HTTP client</t>
  </si>
  <si>
    <t>pypi:pydantic</t>
  </si>
  <si>
    <t>2.12.3</t>
  </si>
  <si>
    <t>Data validation for FastAPI</t>
  </si>
  <si>
    <t>pypi:aiortc</t>
  </si>
  <si>
    <t>1.14.0</t>
  </si>
  <si>
    <t>Python WebRTC implementation</t>
  </si>
  <si>
    <t>pypi:av</t>
  </si>
  <si>
    <t>16.0.1</t>
  </si>
  <si>
    <t>BSD-2-Clause</t>
  </si>
  <si>
    <t>Audio/Video processing for aiortc</t>
  </si>
  <si>
    <t>pypi:ruff</t>
  </si>
  <si>
    <t>0.7.0</t>
  </si>
  <si>
    <t>Fast Python linter</t>
  </si>
  <si>
    <t>pypi:pytest</t>
  </si>
  <si>
    <t>8.3.3</t>
  </si>
  <si>
    <t>Testing framework</t>
  </si>
  <si>
    <t>pypi:mypy</t>
  </si>
  <si>
    <t>1.13.0</t>
  </si>
  <si>
    <t>Static type checker</t>
  </si>
  <si>
    <t>WebRTC Signaling</t>
  </si>
  <si>
    <t>go:pion/webrtc</t>
  </si>
  <si>
    <t>3.2.35</t>
  </si>
  <si>
    <t>Go WebRTC library for signaling service</t>
  </si>
  <si>
    <t>go:gorilla/websocket</t>
  </si>
  <si>
    <t>1.5.2</t>
  </si>
  <si>
    <t>WebSocket library for Go</t>
  </si>
  <si>
    <t>Image Analysis (Python)</t>
  </si>
  <si>
    <t>pypi:opencv-python</t>
  </si>
  <si>
    <t>4.9.0.80</t>
  </si>
  <si>
    <t>Computer vision library</t>
  </si>
  <si>
    <t>Version updated: 4.10.0.84 → 4.12.0.88</t>
  </si>
  <si>
    <t>pypi:numpy</t>
  </si>
  <si>
    <t>1.26.4</t>
  </si>
  <si>
    <t>Numerical operations</t>
  </si>
  <si>
    <t>Version updated: 2.1.1 → 2.2.6</t>
  </si>
  <si>
    <t>pypi:torch</t>
  </si>
  <si>
    <t>2.3.1</t>
  </si>
  <si>
    <t>PyTorch ML framework</t>
  </si>
  <si>
    <t>pypi:torchvision</t>
  </si>
  <si>
    <t>0.18.1</t>
  </si>
  <si>
    <t>Computer vision models for PyTorch</t>
  </si>
  <si>
    <t>pypi:midas</t>
  </si>
  <si>
    <t>for depth recognition</t>
  </si>
  <si>
    <t>pypi:ultralytics</t>
  </si>
  <si>
    <t>8.2.14</t>
  </si>
  <si>
    <t>APGL-3.0</t>
  </si>
  <si>
    <t>for computer vision</t>
  </si>
  <si>
    <t>Infrastructure/Deployment</t>
  </si>
  <si>
    <t>docker:python</t>
  </si>
  <si>
    <t>3.11-slim</t>
  </si>
  <si>
    <t>PSF</t>
  </si>
  <si>
    <t>Base container for Python services</t>
  </si>
  <si>
    <t>docker:golang</t>
  </si>
  <si>
    <t>20-alpine</t>
  </si>
  <si>
    <t>Base container for Go service</t>
  </si>
  <si>
    <t>docker:nvidia/cuda</t>
  </si>
  <si>
    <t>12.4.1-base</t>
  </si>
  <si>
    <t>NVIDIA Software License</t>
  </si>
  <si>
    <t>GPU acceleration for AI inference</t>
  </si>
  <si>
    <t>helm:kubernetes</t>
  </si>
  <si>
    <t>Container orchestration</t>
  </si>
  <si>
    <t>prometheus/prometheus</t>
  </si>
  <si>
    <t>2.54.0</t>
  </si>
  <si>
    <t>Monitoring and metrics</t>
  </si>
  <si>
    <t>grafana/grafana</t>
  </si>
  <si>
    <t>11.1.0</t>
  </si>
  <si>
    <t>AGPL-3.0</t>
  </si>
  <si>
    <t>Visualization dashboards</t>
  </si>
  <si>
    <t xml:space="preserve"> </t>
  </si>
  <si>
    <t>Value</t>
  </si>
  <si>
    <t>No size</t>
  </si>
  <si>
    <t>Trivial size</t>
  </si>
  <si>
    <t>Small size</t>
  </si>
  <si>
    <t>Medium size</t>
  </si>
  <si>
    <t>Large size</t>
  </si>
  <si>
    <t>Very large size</t>
  </si>
  <si>
    <t>Too large (size)</t>
  </si>
  <si>
    <t>How to play planning poker</t>
  </si>
  <si>
    <t>1. Everyone type their number into their value field, don't hit return yet</t>
  </si>
  <si>
    <t>2. Someone, perhaps a product owner, count down 3.. 2.. 1..</t>
  </si>
  <si>
    <t>3. Then, everyone hit return to submit their value</t>
  </si>
  <si>
    <t>no cap yet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</si>
</sst>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m-dd"/>
    <numFmt numFmtId="165" formatCode="yyyy&quot;-&quot;mm&quot;-&quot;dd"/>
  </numFmts>
  <fonts count="13">
    <font>
      <sz val="10.0"/>
      <color rgb="FF000000"/>
      <name val="Arial"/>
    </font>
    <font>
      <b/>
    </font>
    <font/>
    <font>
      <u/>
      <color rgb="FF0000FF"/>
    </font>
    <font>
      <u/>
      <color rgb="FF0000FF"/>
    </font>
    <font>
      <u/>
      <color rgb="FF0000FF"/>
    </font>
    <font>
      <u/>
      <color rgb="FF0000FF"/>
    </font>
    <font>
      <b/>
      <name val="Arial"/>
    </font>
    <font>
      <name val="Arial"/>
    </font>
    <font>
      <color rgb="FFFFFFFF"/>
      <name val="Arial"/>
    </font>
    <font>
      <b/>
      <sz val="11.0"/>
      <color rgb="FFFFFFFF"/>
      <name val="Calibri"/>
    </font>
    <font>
      <sz val="11.0"/>
      <color rgb="FF000000"/>
      <name val="Calibri"/>
    </font>
    <font>
      <b/>
      <sz val="24.0"/>
      <name val="Arial"/>
    </font>
  </fonts>
  <fills count="12">
    <fill>
      <patternFill patternType="none"/>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9EAD3"/>
        <bgColor rgb="FFD9EAD3"/>
      </patternFill>
    </fill>
    <fill>
      <patternFill patternType="solid">
        <fgColor rgb="FF4472C4"/>
        <bgColor rgb="FF4472C4"/>
      </patternFill>
    </fill>
    <fill>
      <patternFill patternType="solid">
        <fgColor rgb="FFD4EDDA"/>
        <bgColor rgb="FFD4EDDA"/>
      </patternFill>
    </fill>
    <fill>
      <patternFill patternType="solid">
        <fgColor rgb="FFFFF3CD"/>
        <bgColor rgb="FFFFF3CD"/>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23">
    <xf borderId="0" fillId="0" fontId="0" numFmtId="0" xfId="0" applyAlignment="1" applyFont="1">
      <alignment readingOrder="0" shrinkToFit="0" vertical="bottom" wrapText="1"/>
    </xf>
    <xf borderId="0" fillId="0" fontId="1" numFmtId="0" xfId="0" applyAlignment="1" applyFont="1">
      <alignment shrinkToFit="0" wrapText="1"/>
    </xf>
    <xf borderId="0" fillId="0" fontId="2" numFmtId="0" xfId="0" applyAlignment="1" applyFont="1">
      <alignment readingOrder="0" shrinkToFit="0" wrapText="1"/>
    </xf>
    <xf borderId="0" fillId="0" fontId="2" numFmtId="0" xfId="0" applyAlignment="1" applyFont="1">
      <alignment shrinkToFit="0" wrapText="1"/>
    </xf>
    <xf borderId="0" fillId="0" fontId="1" numFmtId="0" xfId="0" applyAlignment="1" applyFont="1">
      <alignment readingOrder="0" shrinkToFit="0" wrapText="1"/>
    </xf>
    <xf borderId="0" fillId="0"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readingOrder="0" shrinkToFit="0" wrapText="1"/>
    </xf>
    <xf borderId="0" fillId="0" fontId="1" numFmtId="0" xfId="0" applyAlignment="1" applyFont="1">
      <alignment readingOrder="0" shrinkToFit="0" wrapText="0"/>
    </xf>
    <xf borderId="0" fillId="0" fontId="2" numFmtId="0" xfId="0" applyAlignment="1" applyFont="1">
      <alignment readingOrder="0" shrinkToFit="0" wrapText="0"/>
    </xf>
    <xf borderId="0" fillId="0" fontId="6"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shrinkToFit="0" wrapText="0"/>
    </xf>
    <xf borderId="0" fillId="0" fontId="1" numFmtId="0" xfId="0" applyAlignment="1" applyFont="1">
      <alignment shrinkToFit="0" wrapText="0"/>
    </xf>
    <xf borderId="0" fillId="2" fontId="1" numFmtId="0" xfId="0" applyAlignment="1" applyFill="1" applyFont="1">
      <alignment horizontal="center" readingOrder="0" shrinkToFit="0" wrapText="0"/>
    </xf>
    <xf borderId="0" fillId="2" fontId="1" numFmtId="0" xfId="0" applyAlignment="1" applyFont="1">
      <alignment horizontal="center" shrinkToFit="0" wrapText="0"/>
    </xf>
    <xf borderId="0" fillId="0" fontId="1" numFmtId="0" xfId="0" applyAlignment="1" applyFont="1">
      <alignment horizontal="center" readingOrder="0" shrinkToFit="0" wrapText="0"/>
    </xf>
    <xf borderId="0" fillId="0" fontId="1" numFmtId="0" xfId="0" applyAlignment="1" applyFont="1">
      <alignment horizontal="center" shrinkToFit="0" wrapText="0"/>
    </xf>
    <xf borderId="0" fillId="0" fontId="2" numFmtId="0" xfId="0" applyAlignment="1" applyFont="1">
      <alignment horizontal="center" shrinkToFit="0" wrapText="0"/>
    </xf>
    <xf borderId="0" fillId="0" fontId="2" numFmtId="164" xfId="0" applyAlignment="1" applyFont="1" applyNumberFormat="1">
      <alignment readingOrder="0" shrinkToFit="0" wrapText="0"/>
    </xf>
    <xf borderId="0" fillId="0" fontId="2" numFmtId="0" xfId="0" applyAlignment="1" applyFont="1">
      <alignment horizontal="left" readingOrder="0" shrinkToFit="0" wrapText="0"/>
    </xf>
    <xf borderId="0" fillId="0" fontId="2" numFmtId="164" xfId="0" applyAlignment="1" applyFont="1" applyNumberFormat="1">
      <alignment shrinkToFit="0" wrapText="0"/>
    </xf>
    <xf borderId="0" fillId="0" fontId="2" numFmtId="165" xfId="0" applyAlignment="1" applyFont="1" applyNumberFormat="1">
      <alignment horizontal="left" readingOrder="0" shrinkToFit="0" wrapText="0"/>
    </xf>
    <xf borderId="0" fillId="0" fontId="2" numFmtId="165" xfId="0" applyAlignment="1" applyFont="1" applyNumberFormat="1">
      <alignment shrinkToFit="0" wrapText="0"/>
    </xf>
    <xf borderId="0" fillId="0" fontId="2" numFmtId="165" xfId="0" applyAlignment="1" applyFont="1" applyNumberFormat="1">
      <alignment horizontal="left" shrinkToFit="0" wrapText="0"/>
    </xf>
    <xf borderId="0" fillId="0" fontId="2" numFmtId="165" xfId="0" applyAlignment="1" applyFont="1" applyNumberFormat="1">
      <alignment horizontal="left" shrinkToFit="0" wrapText="0"/>
    </xf>
    <xf borderId="0" fillId="0" fontId="2" numFmtId="0" xfId="0" applyAlignment="1" applyFont="1">
      <alignment horizontal="left" shrinkToFit="0" wrapText="0"/>
    </xf>
    <xf borderId="0" fillId="3" fontId="7" numFmtId="0" xfId="0" applyAlignment="1" applyFill="1" applyFont="1">
      <alignment shrinkToFit="0" vertical="bottom" wrapText="1"/>
    </xf>
    <xf borderId="0" fillId="3" fontId="8" numFmtId="0" xfId="0" applyAlignment="1" applyFont="1">
      <alignment readingOrder="0" shrinkToFit="0" vertical="bottom" wrapText="1"/>
    </xf>
    <xf borderId="0" fillId="4" fontId="8" numFmtId="0" xfId="0" applyAlignment="1" applyFill="1" applyFont="1">
      <alignment shrinkToFit="0" vertical="bottom" wrapText="1"/>
    </xf>
    <xf borderId="0" fillId="4" fontId="8" numFmtId="0" xfId="0" applyAlignment="1" applyFont="1">
      <alignment shrinkToFit="0" vertical="bottom" wrapText="1"/>
    </xf>
    <xf borderId="0" fillId="3" fontId="7" numFmtId="0" xfId="0" applyAlignment="1" applyFont="1">
      <alignment readingOrder="0" shrinkToFit="0" vertical="bottom" wrapText="1"/>
    </xf>
    <xf borderId="0" fillId="3" fontId="8" numFmtId="0" xfId="0" applyAlignment="1" applyFont="1">
      <alignment shrinkToFit="0" vertical="bottom" wrapText="1"/>
    </xf>
    <xf borderId="0" fillId="3" fontId="7" numFmtId="0" xfId="0" applyAlignment="1" applyFont="1">
      <alignment shrinkToFit="0" vertical="bottom" wrapText="1"/>
    </xf>
    <xf borderId="0" fillId="0" fontId="2" numFmtId="0" xfId="0" applyAlignment="1" applyFont="1">
      <alignment shrinkToFit="0" wrapText="1"/>
    </xf>
    <xf borderId="0" fillId="0" fontId="2" numFmtId="0" xfId="0" applyAlignment="1" applyFont="1">
      <alignment readingOrder="0" shrinkToFit="0" wrapText="1"/>
    </xf>
    <xf borderId="0" fillId="2" fontId="1" numFmtId="0" xfId="0" applyAlignment="1" applyFont="1">
      <alignment readingOrder="0" shrinkToFit="0" wrapText="1"/>
    </xf>
    <xf borderId="0" fillId="3" fontId="2" numFmtId="0" xfId="0" applyAlignment="1" applyFont="1">
      <alignment shrinkToFit="0" wrapText="1"/>
    </xf>
    <xf borderId="0" fillId="3" fontId="2" numFmtId="0" xfId="0" applyAlignment="1" applyFont="1">
      <alignment readingOrder="0" shrinkToFit="0" wrapText="1"/>
    </xf>
    <xf borderId="0" fillId="4" fontId="8" numFmtId="0" xfId="0" applyAlignment="1" applyFont="1">
      <alignment readingOrder="0" shrinkToFit="0" vertical="top" wrapText="1"/>
    </xf>
    <xf borderId="0" fillId="0" fontId="1" numFmtId="0" xfId="0" applyAlignment="1" applyFont="1">
      <alignment shrinkToFit="0" wrapText="1"/>
    </xf>
    <xf borderId="0" fillId="0" fontId="1" numFmtId="0" xfId="0" applyAlignment="1" applyFont="1">
      <alignment horizontal="left" readingOrder="0" shrinkToFit="0" wrapText="1"/>
    </xf>
    <xf borderId="0" fillId="0" fontId="2" numFmtId="0" xfId="0" applyAlignment="1" applyFont="1">
      <alignment horizontal="left" readingOrder="0" shrinkToFit="0" wrapText="1"/>
    </xf>
    <xf borderId="0" fillId="0" fontId="2" numFmtId="0" xfId="0" applyAlignment="1" applyFont="1">
      <alignment horizontal="left" shrinkToFit="0" wrapText="1"/>
    </xf>
    <xf borderId="0" fillId="0" fontId="1" numFmtId="0" xfId="0" applyAlignment="1" applyFont="1">
      <alignment readingOrder="0" shrinkToFit="0" wrapText="1"/>
    </xf>
    <xf borderId="0" fillId="5" fontId="1" numFmtId="0" xfId="0" applyAlignment="1" applyFill="1" applyFont="1">
      <alignment readingOrder="0" shrinkToFit="0" wrapText="1"/>
    </xf>
    <xf borderId="0" fillId="2" fontId="7" numFmtId="0" xfId="0" applyAlignment="1" applyFont="1">
      <alignment horizontal="left" shrinkToFit="0" vertical="bottom" wrapText="1"/>
    </xf>
    <xf borderId="0" fillId="2" fontId="7" numFmtId="0" xfId="0" applyAlignment="1" applyFont="1">
      <alignment shrinkToFit="0" vertical="bottom" wrapText="0"/>
    </xf>
    <xf borderId="0" fillId="2" fontId="7" numFmtId="0" xfId="0" applyAlignment="1" applyFont="1">
      <alignment shrinkToFit="0" vertical="bottom" wrapText="0"/>
    </xf>
    <xf borderId="0" fillId="2" fontId="7" numFmtId="0" xfId="0" applyAlignment="1" applyFont="1">
      <alignment horizontal="center" readingOrder="0" shrinkToFit="0" vertical="bottom" wrapText="1"/>
    </xf>
    <xf borderId="0" fillId="3" fontId="8" numFmtId="0" xfId="0" applyAlignment="1" applyFont="1">
      <alignment horizontal="left" shrinkToFit="0" vertical="bottom" wrapText="1"/>
    </xf>
    <xf borderId="0" fillId="3" fontId="8" numFmtId="0" xfId="0" applyAlignment="1" applyFont="1">
      <alignment shrinkToFit="0" vertical="bottom" wrapText="0"/>
    </xf>
    <xf borderId="0" fillId="6" fontId="7" numFmtId="0" xfId="0" applyAlignment="1" applyFill="1" applyFont="1">
      <alignment horizontal="left" shrinkToFit="0" vertical="bottom" wrapText="0"/>
    </xf>
    <xf borderId="0" fillId="6" fontId="8" numFmtId="0" xfId="0" applyAlignment="1" applyFont="1">
      <alignment shrinkToFit="0" vertical="bottom" wrapText="0"/>
    </xf>
    <xf borderId="0" fillId="6" fontId="8" numFmtId="0" xfId="0" applyAlignment="1" applyFont="1">
      <alignment shrinkToFit="0" vertical="bottom" wrapText="1"/>
    </xf>
    <xf borderId="0" fillId="4" fontId="7" numFmtId="0" xfId="0" applyAlignment="1" applyFont="1">
      <alignment shrinkToFit="0" vertical="bottom" wrapText="0"/>
    </xf>
    <xf borderId="0" fillId="0" fontId="2" numFmtId="0" xfId="0" applyAlignment="1" applyFont="1">
      <alignment shrinkToFit="0" wrapText="0"/>
    </xf>
    <xf borderId="0" fillId="4" fontId="8" numFmtId="0" xfId="0" applyAlignment="1" applyFont="1">
      <alignment horizontal="right" shrinkToFit="0" vertical="bottom" wrapText="0"/>
    </xf>
    <xf borderId="0" fillId="7" fontId="7" numFmtId="0" xfId="0" applyAlignment="1" applyFill="1" applyFont="1">
      <alignment horizontal="left" shrinkToFit="0" vertical="bottom" wrapText="0"/>
    </xf>
    <xf borderId="0" fillId="7" fontId="7" numFmtId="0" xfId="0" applyAlignment="1" applyFont="1">
      <alignment shrinkToFit="0" vertical="bottom" wrapText="0"/>
    </xf>
    <xf borderId="0" fillId="7" fontId="8" numFmtId="0" xfId="0" applyAlignment="1" applyFont="1">
      <alignment shrinkToFit="0" vertical="bottom" wrapText="1"/>
    </xf>
    <xf borderId="0" fillId="3" fontId="9" numFmtId="0" xfId="0" applyAlignment="1" applyFont="1">
      <alignment horizontal="center" shrinkToFit="0" vertical="bottom" wrapText="0"/>
    </xf>
    <xf borderId="0" fillId="4" fontId="8" numFmtId="0" xfId="0" applyAlignment="1" applyFont="1">
      <alignment horizontal="left" shrinkToFit="0" vertical="bottom" wrapText="1"/>
    </xf>
    <xf borderId="0" fillId="4" fontId="7" numFmtId="0" xfId="0" applyAlignment="1" applyFont="1">
      <alignment readingOrder="0" shrinkToFit="0" vertical="bottom" wrapText="0"/>
    </xf>
    <xf borderId="0" fillId="0" fontId="7" numFmtId="0" xfId="0" applyAlignment="1" applyFont="1">
      <alignment readingOrder="0" shrinkToFit="0" vertical="bottom" wrapText="0"/>
    </xf>
    <xf borderId="0" fillId="3" fontId="8" numFmtId="0" xfId="0" applyAlignment="1" applyFont="1">
      <alignment horizontal="right" shrinkToFit="0" vertical="bottom" wrapText="0"/>
    </xf>
    <xf borderId="0" fillId="8" fontId="7" numFmtId="0" xfId="0" applyAlignment="1" applyFill="1" applyFont="1">
      <alignment horizontal="left" shrinkToFit="0" vertical="bottom" wrapText="0"/>
    </xf>
    <xf borderId="0" fillId="8" fontId="7" numFmtId="0" xfId="0" applyAlignment="1" applyFont="1">
      <alignment shrinkToFit="0" vertical="bottom" wrapText="0"/>
    </xf>
    <xf borderId="0" fillId="8" fontId="8" numFmtId="0" xfId="0" applyAlignment="1" applyFont="1">
      <alignment shrinkToFit="0" vertical="bottom" wrapText="1"/>
    </xf>
    <xf borderId="0" fillId="3" fontId="7" numFmtId="0" xfId="0" applyAlignment="1" applyFont="1">
      <alignment horizontal="left" shrinkToFit="0" vertical="bottom" wrapText="0"/>
    </xf>
    <xf borderId="0" fillId="3" fontId="7" numFmtId="0" xfId="0" applyAlignment="1" applyFont="1">
      <alignment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1"/>
    </xf>
    <xf borderId="0" fillId="3" fontId="8" numFmtId="0" xfId="0" applyAlignment="1" applyFont="1">
      <alignment horizontal="left" shrinkToFit="0" vertical="bottom" wrapText="1"/>
    </xf>
    <xf borderId="0" fillId="3" fontId="8" numFmtId="0" xfId="0" applyAlignment="1" applyFont="1">
      <alignment shrinkToFit="0" vertical="bottom" wrapText="0"/>
    </xf>
    <xf borderId="0" fillId="3" fontId="8" numFmtId="0" xfId="0" applyAlignment="1" applyFont="1">
      <alignment readingOrder="0" shrinkToFit="0" vertical="bottom" wrapText="0"/>
    </xf>
    <xf borderId="0" fillId="3" fontId="8" numFmtId="0" xfId="0" applyAlignment="1" applyFont="1">
      <alignment horizontal="right" readingOrder="0" shrinkToFit="0" vertical="bottom" wrapText="0"/>
    </xf>
    <xf borderId="0" fillId="4" fontId="8" numFmtId="0" xfId="0" applyAlignment="1" applyFont="1">
      <alignment horizontal="right" readingOrder="0" shrinkToFit="0" vertical="bottom" wrapText="0"/>
    </xf>
    <xf borderId="0" fillId="0" fontId="2" numFmtId="0" xfId="0" applyAlignment="1" applyFont="1">
      <alignment readingOrder="0" shrinkToFit="0" wrapText="0"/>
    </xf>
    <xf borderId="0" fillId="3" fontId="8" numFmtId="0" xfId="0" applyAlignment="1" applyFont="1">
      <alignment horizontal="left" readingOrder="0" shrinkToFit="0" vertical="bottom" wrapText="1"/>
    </xf>
    <xf borderId="0" fillId="2" fontId="7" numFmtId="0" xfId="0" applyAlignment="1" applyFont="1">
      <alignment shrinkToFit="0" vertical="bottom" wrapText="1"/>
    </xf>
    <xf borderId="0" fillId="7" fontId="7" numFmtId="0" xfId="0" applyAlignment="1" applyFont="1">
      <alignment shrinkToFit="0" vertical="bottom" wrapText="0"/>
    </xf>
    <xf borderId="0" fillId="3" fontId="8" numFmtId="0" xfId="0" applyAlignment="1" applyFont="1">
      <alignment shrinkToFit="0" vertical="bottom" wrapText="1"/>
    </xf>
    <xf borderId="0" fillId="3" fontId="8" numFmtId="0" xfId="0" applyAlignment="1" applyFont="1">
      <alignment horizontal="right" shrinkToFit="0" vertical="bottom" wrapText="0"/>
    </xf>
    <xf borderId="0" fillId="5" fontId="1" numFmtId="0" xfId="0" applyAlignment="1" applyFont="1">
      <alignment readingOrder="0" shrinkToFit="0" wrapText="0"/>
    </xf>
    <xf borderId="0" fillId="2" fontId="7" numFmtId="0" xfId="0" applyAlignment="1" applyFont="1">
      <alignment shrinkToFit="0" vertical="bottom" wrapText="1"/>
    </xf>
    <xf borderId="0" fillId="2" fontId="7" numFmtId="0" xfId="0" applyAlignment="1" applyFont="1">
      <alignment readingOrder="0" shrinkToFit="0" vertical="bottom" wrapText="0"/>
    </xf>
    <xf borderId="1" fillId="9" fontId="10" numFmtId="0" xfId="0" applyAlignment="1" applyBorder="1" applyFill="1" applyFont="1">
      <alignment horizontal="center" readingOrder="0" shrinkToFit="0" wrapText="0"/>
    </xf>
    <xf borderId="1" fillId="10" fontId="11" numFmtId="0" xfId="0" applyAlignment="1" applyBorder="1" applyFill="1" applyFont="1">
      <alignment horizontal="left" readingOrder="0" shrinkToFit="0" wrapText="1"/>
    </xf>
    <xf borderId="1" fillId="10" fontId="11" numFmtId="0" xfId="0" applyAlignment="1" applyBorder="1" applyFont="1">
      <alignment horizontal="left" shrinkToFit="0" wrapText="1"/>
    </xf>
    <xf borderId="1" fillId="11" fontId="11" numFmtId="0" xfId="0" applyAlignment="1" applyBorder="1" applyFill="1" applyFont="1">
      <alignment horizontal="left" readingOrder="0" shrinkToFit="0" wrapText="1"/>
    </xf>
    <xf borderId="1" fillId="11" fontId="11" numFmtId="0" xfId="0" applyAlignment="1" applyBorder="1" applyFont="1">
      <alignment horizontal="left" shrinkToFit="0" wrapText="1"/>
    </xf>
    <xf borderId="1" fillId="11" fontId="11" numFmtId="0" xfId="0" applyAlignment="1" applyBorder="1" applyFont="1">
      <alignment horizontal="left" shrinkToFit="0" wrapText="1"/>
    </xf>
    <xf borderId="0" fillId="2" fontId="7" numFmtId="0" xfId="0" applyAlignment="1" applyFont="1">
      <alignment shrinkToFit="0" vertical="center" wrapText="1"/>
    </xf>
    <xf borderId="0" fillId="2" fontId="7" numFmtId="0" xfId="0" applyAlignment="1" applyFont="1">
      <alignment horizontal="center" shrinkToFit="0" vertical="center" wrapText="1"/>
    </xf>
    <xf borderId="0" fillId="2" fontId="7" numFmtId="4" xfId="0" applyAlignment="1" applyFont="1" applyNumberFormat="1">
      <alignment shrinkToFit="0" vertical="center" wrapText="1"/>
    </xf>
    <xf borderId="0" fillId="2" fontId="8" numFmtId="4" xfId="0" applyAlignment="1" applyFont="1" applyNumberFormat="1">
      <alignment shrinkToFit="0" vertical="center" wrapText="1"/>
    </xf>
    <xf borderId="0" fillId="2" fontId="8" numFmtId="0" xfId="0" applyAlignment="1" applyFont="1">
      <alignment shrinkToFit="0" vertical="center" wrapText="1"/>
    </xf>
    <xf borderId="0" fillId="2" fontId="1" numFmtId="0" xfId="0" applyAlignment="1" applyFont="1">
      <alignment shrinkToFit="0" vertical="center" wrapText="1"/>
    </xf>
    <xf borderId="0" fillId="3" fontId="7" numFmtId="0" xfId="0" applyAlignment="1" applyFont="1">
      <alignment shrinkToFit="0" vertical="center" wrapText="1"/>
    </xf>
    <xf borderId="0" fillId="5" fontId="8" numFmtId="0" xfId="0" applyAlignment="1" applyFont="1">
      <alignment horizontal="center" readingOrder="0" shrinkToFit="0" vertical="center" wrapText="1"/>
    </xf>
    <xf borderId="0" fillId="3" fontId="8" numFmtId="4" xfId="0" applyAlignment="1" applyFont="1" applyNumberFormat="1">
      <alignment shrinkToFit="0" vertical="center" wrapText="1"/>
    </xf>
    <xf borderId="0" fillId="8" fontId="12" numFmtId="4" xfId="0" applyAlignment="1" applyFont="1" applyNumberFormat="1">
      <alignment horizontal="center" shrinkToFit="0" vertical="center" wrapText="1"/>
    </xf>
    <xf borderId="0" fillId="8" fontId="12" numFmtId="0" xfId="0" applyAlignment="1" applyFont="1">
      <alignment horizontal="center" shrinkToFit="0" vertical="center" wrapText="1"/>
    </xf>
    <xf borderId="0" fillId="3" fontId="2" numFmtId="0" xfId="0" applyAlignment="1" applyFont="1">
      <alignment shrinkToFit="0" vertical="center" wrapText="1"/>
    </xf>
    <xf borderId="0" fillId="4" fontId="7" numFmtId="0" xfId="0" applyAlignment="1" applyFont="1">
      <alignment shrinkToFit="0" vertical="center" wrapText="1"/>
    </xf>
    <xf borderId="0" fillId="4" fontId="8" numFmtId="4" xfId="0" applyAlignment="1" applyFont="1" applyNumberFormat="1">
      <alignment shrinkToFit="0" vertical="center" wrapText="1"/>
    </xf>
    <xf borderId="0" fillId="4" fontId="2" numFmtId="0" xfId="0" applyAlignment="1" applyFont="1">
      <alignment shrinkToFit="0" vertical="center" wrapText="1"/>
    </xf>
    <xf borderId="0" fillId="4" fontId="8" numFmtId="0" xfId="0" applyAlignment="1" applyFont="1">
      <alignment shrinkToFit="0" vertical="center" wrapText="1"/>
    </xf>
    <xf borderId="0" fillId="3" fontId="8" numFmtId="0" xfId="0" applyAlignment="1" applyFont="1">
      <alignment shrinkToFit="0" vertical="center" wrapText="1"/>
    </xf>
    <xf borderId="0" fillId="7" fontId="8" numFmtId="0" xfId="0" applyAlignment="1" applyFont="1">
      <alignment horizontal="center" shrinkToFit="0" vertical="center" wrapText="1"/>
    </xf>
    <xf borderId="0" fillId="7" fontId="8" numFmtId="0" xfId="0" applyAlignment="1" applyFont="1">
      <alignment readingOrder="0" shrinkToFit="0" vertical="center" wrapText="1"/>
    </xf>
    <xf borderId="0" fillId="4" fontId="2" numFmtId="0" xfId="0" applyAlignment="1" applyFont="1">
      <alignment readingOrder="0" shrinkToFit="0" wrapText="1"/>
    </xf>
    <xf borderId="0" fillId="4" fontId="7" numFmtId="0" xfId="0" applyAlignment="1" applyFont="1">
      <alignment readingOrder="0" shrinkToFit="0" vertical="center" wrapText="1"/>
    </xf>
    <xf borderId="0" fillId="5" fontId="2" numFmtId="0" xfId="0" applyAlignment="1" applyFont="1">
      <alignment shrinkToFit="0" wrapText="1"/>
    </xf>
    <xf borderId="0" fillId="3" fontId="8" numFmtId="0" xfId="0" applyAlignment="1" applyFont="1">
      <alignment horizontal="center" shrinkToFit="0" vertical="center" wrapText="1"/>
    </xf>
    <xf borderId="0" fillId="3" fontId="1" numFmtId="0" xfId="0" applyAlignment="1" applyFont="1">
      <alignment shrinkToFit="0" wrapText="0"/>
    </xf>
    <xf borderId="0" fillId="3" fontId="1" numFmtId="0" xfId="0" applyAlignment="1" applyFont="1">
      <alignment shrinkToFit="0" wrapText="0"/>
    </xf>
    <xf borderId="0" fillId="4" fontId="2" numFmtId="0" xfId="0" applyAlignment="1" applyFont="1">
      <alignment shrinkToFit="0" wrapText="0"/>
    </xf>
    <xf borderId="0" fillId="3" fontId="2" numFmtId="0" xfId="0" applyAlignment="1" applyFont="1">
      <alignment shrinkToFit="0" wrapText="0"/>
    </xf>
    <xf borderId="0" fillId="3" fontId="2" numFmtId="0" xfId="0" applyAlignment="1" applyFont="1">
      <alignment shrinkToFit="0" wrapText="0"/>
    </xf>
    <xf borderId="0" fillId="4" fontId="2" numFmtId="0" xfId="0" applyAlignment="1" applyFont="1">
      <alignment shrinkToFit="0" wrapText="0"/>
    </xf>
    <xf borderId="0" fillId="4" fontId="2"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s>
  <tableStyles count="13">
    <tableStyle count="3" pivot="0" name="Project Data-style">
      <tableStyleElement dxfId="1" type="headerRow"/>
      <tableStyleElement dxfId="2" type="firstRowStripe"/>
      <tableStyleElement dxfId="3" type="secondRowStripe"/>
    </tableStyle>
    <tableStyle count="3" pivot="0" name="Project Team-style">
      <tableStyleElement dxfId="1" type="headerRow"/>
      <tableStyleElement dxfId="2" type="firstRowStripe"/>
      <tableStyleElement dxfId="3" type="secondRowStripe"/>
    </tableStyle>
    <tableStyle count="3" pivot="0" name="Role Assignments-style">
      <tableStyleElement dxfId="1" type="headerRow"/>
      <tableStyleElement dxfId="2" type="firstRowStripe"/>
      <tableStyleElement dxfId="3" type="secondRowStripe"/>
    </tableStyle>
    <tableStyle count="3" pivot="0" name="Team Contract-style">
      <tableStyleElement dxfId="1" type="headerRow"/>
      <tableStyleElement dxfId="2" type="firstRowStripe"/>
      <tableStyleElement dxfId="3" type="secondRowStripe"/>
    </tableStyle>
    <tableStyle count="3" pivot="0" name="Product Glossary-style">
      <tableStyleElement dxfId="1" type="headerRow"/>
      <tableStyleElement dxfId="2" type="firstRowStripe"/>
      <tableStyleElement dxfId="3" type="secondRowStripe"/>
    </tableStyle>
    <tableStyle count="3" pivot="0" name="Sprint Goals-style">
      <tableStyleElement dxfId="1" type="headerRow"/>
      <tableStyleElement dxfId="2" type="firstRowStripe"/>
      <tableStyleElement dxfId="3" type="secondRowStripe"/>
    </tableStyle>
    <tableStyle count="3" pivot="0" name="Velocity Tracking-style">
      <tableStyleElement dxfId="1" type="headerRow"/>
      <tableStyleElement dxfId="2" type="firstRowStripe"/>
      <tableStyleElement dxfId="3" type="secondRowStripe"/>
    </tableStyle>
    <tableStyle count="3" pivot="0" name="Mid-Project Release plan-style">
      <tableStyleElement dxfId="1" type="headerRow"/>
      <tableStyleElement dxfId="2" type="firstRowStripe"/>
      <tableStyleElement dxfId="3" type="secondRowStripe"/>
    </tableStyle>
    <tableStyle count="3" pivot="0" name="Burndown Chart-style">
      <tableStyleElement dxfId="1" type="headerRow"/>
      <tableStyleElement dxfId="2" type="firstRowStripe"/>
      <tableStyleElement dxfId="3" type="secondRowStripe"/>
    </tableStyle>
    <tableStyle count="3" pivot="0" name="Final Project Release plan-style">
      <tableStyleElement dxfId="1" type="headerRow"/>
      <tableStyleElement dxfId="2" type="firstRowStripe"/>
      <tableStyleElement dxfId="3" type="secondRowStripe"/>
    </tableStyle>
    <tableStyle count="3" pivot="0" name="Definition of Done-style">
      <tableStyleElement dxfId="1" type="headerRow"/>
      <tableStyleElement dxfId="2" type="firstRowStripe"/>
      <tableStyleElement dxfId="3" type="secondRowStripe"/>
    </tableStyle>
    <tableStyle count="3" pivot="0" name="Documentation-style">
      <tableStyleElement dxfId="1" type="headerRow"/>
      <tableStyleElement dxfId="2" type="firstRowStripe"/>
      <tableStyleElement dxfId="3" type="secondRowStripe"/>
    </tableStyle>
    <tableStyle count="3" pivot="0" name="Bill of Materials-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15" Type="http://schemas.openxmlformats.org/officeDocument/2006/relationships/worksheet" Target="worksheets/sheet13.xml"/><Relationship Id="rId14" Type="http://schemas.openxmlformats.org/officeDocument/2006/relationships/worksheet" Target="worksheets/sheet12.xml"/><Relationship Id="rId17" Type="http://schemas.openxmlformats.org/officeDocument/2006/relationships/worksheet" Target="worksheets/sheet15.xml"/><Relationship Id="rId16" Type="http://schemas.openxmlformats.org/officeDocument/2006/relationships/worksheet" Target="worksheets/sheet14.xml"/><Relationship Id="rId5" Type="http://schemas.openxmlformats.org/officeDocument/2006/relationships/worksheet" Target="worksheets/sheet3.xml"/><Relationship Id="rId6" Type="http://schemas.openxmlformats.org/officeDocument/2006/relationships/worksheet" Target="worksheets/sheet4.xml"/><Relationship Id="rId18" Type="http://schemas.openxmlformats.org/officeDocument/2006/relationships/worksheet" Target="worksheets/sheet16.xml"/><Relationship Id="rId7" Type="http://schemas.openxmlformats.org/officeDocument/2006/relationships/worksheet" Target="worksheets/sheet5.xml"/><Relationship Id="rId8" Type="http://schemas.openxmlformats.org/officeDocument/2006/relationships/worksheet" Target="worksheets/sheet6.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Velocity Chart</a:t>
            </a:r>
          </a:p>
        </c:rich>
      </c:tx>
      <c:overlay val="0"/>
    </c:title>
    <c:plotArea>
      <c:layout/>
      <c:barChart>
        <c:barDir val="col"/>
        <c:grouping val="stacked"/>
        <c:ser>
          <c:idx val="0"/>
          <c:order val="0"/>
          <c:tx>
            <c:strRef>
              <c:f>'Velocity Tracking'!$B$1</c:f>
            </c:strRef>
          </c:tx>
          <c:spPr>
            <a:solidFill>
              <a:srgbClr val="4285F4"/>
            </a:solidFill>
            <a:ln cmpd="sng">
              <a:solidFill>
                <a:srgbClr val="000000"/>
              </a:solidFill>
            </a:ln>
          </c:spPr>
          <c:cat>
            <c:strRef>
              <c:f>'Velocity Tracking'!$A$2:$A$16</c:f>
            </c:strRef>
          </c:cat>
          <c:val>
            <c:numRef>
              <c:f>'Velocity Tracking'!$B$2:$B$16</c:f>
              <c:numCache/>
            </c:numRef>
          </c:val>
        </c:ser>
        <c:overlap val="100"/>
        <c:axId val="539671783"/>
        <c:axId val="71239164"/>
      </c:barChart>
      <c:lineChart>
        <c:varyColors val="0"/>
        <c:ser>
          <c:idx val="1"/>
          <c:order val="1"/>
          <c:tx>
            <c:strRef>
              <c:f>'Velocity Chart'!$A$1</c:f>
            </c:strRef>
          </c:tx>
          <c:spPr>
            <a:ln cmpd="sng">
              <a:solidFill>
                <a:srgbClr val="DB4437"/>
              </a:solidFill>
            </a:ln>
          </c:spPr>
          <c:marker>
            <c:symbol val="none"/>
          </c:marker>
          <c:dPt>
            <c:idx val="14"/>
            <c:marker>
              <c:symbol val="none"/>
            </c:marker>
          </c:dPt>
          <c:cat>
            <c:strRef>
              <c:f>'Velocity Tracking'!$A$2:$A$16</c:f>
            </c:strRef>
          </c:cat>
          <c:val>
            <c:numRef>
              <c:f>'Velocity Chart'!$A$2:$A$16</c:f>
              <c:numCache/>
            </c:numRef>
          </c:val>
          <c:smooth val="0"/>
        </c:ser>
        <c:axId val="539671783"/>
        <c:axId val="71239164"/>
      </c:lineChart>
      <c:catAx>
        <c:axId val="539671783"/>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71239164"/>
      </c:catAx>
      <c:valAx>
        <c:axId val="712391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539671783"/>
      </c:valAx>
    </c:plotArea>
    <c:legend>
      <c:legendPos val="r"/>
      <c:overlay val="0"/>
      <c:txPr>
        <a:bodyPr/>
        <a:lstStyle/>
        <a:p>
          <a:pPr lvl="0">
            <a:defRPr b="0">
              <a:solidFill>
                <a:srgbClr val="000000"/>
              </a:solidFill>
              <a:latin typeface="Roboto"/>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000000"/>
                </a:solidFill>
                <a:latin typeface="Roboto"/>
              </a:defRPr>
            </a:pPr>
            <a:r>
              <a:rPr b="0">
                <a:solidFill>
                  <a:srgbClr val="000000"/>
                </a:solidFill>
                <a:latin typeface="Roboto"/>
              </a:rPr>
              <a:t>Burndown Chart</a:t>
            </a:r>
          </a:p>
        </c:rich>
      </c:tx>
      <c:overlay val="0"/>
    </c:title>
    <c:plotArea>
      <c:layout/>
      <c:barChart>
        <c:barDir val="col"/>
        <c:ser>
          <c:idx val="0"/>
          <c:order val="0"/>
          <c:tx>
            <c:v>Estimated Size</c:v>
          </c:tx>
          <c:spPr>
            <a:solidFill>
              <a:srgbClr val="4285F4"/>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'Mid-Project Release plan'!$A$9:$A$14</c:f>
            </c:strRef>
          </c:cat>
          <c:val>
            <c:numRef>
              <c:f>'Mid-Project Release plan'!$E$9:$E$14</c:f>
              <c:numCache/>
            </c:numRef>
          </c:val>
        </c:ser>
        <c:ser>
          <c:idx val="1"/>
          <c:order val="1"/>
          <c:tx>
            <c:v>Real Size</c:v>
          </c:tx>
          <c:spPr>
            <a:solidFill>
              <a:srgbClr val="DB4437"/>
            </a:solidFill>
            <a:ln cmpd="sng">
              <a:solidFill>
                <a:srgbClr val="000000"/>
              </a:solidFill>
            </a:ln>
          </c:spPr>
          <c:trendline>
            <c:name>Development Speed</c:name>
            <c:spPr>
              <a:ln w="19050">
                <a:solidFill>
                  <a:srgbClr val="000000"/>
                </a:solidFill>
              </a:ln>
            </c:spPr>
            <c:trendlineType val="linear"/>
            <c:dispRSqr val="0"/>
            <c:dispEq val="0"/>
          </c:trendline>
          <c:cat>
            <c:strRef>
              <c:f>'Mid-Project Release plan'!$A$9:$A$14</c:f>
            </c:strRef>
          </c:cat>
          <c:val>
            <c:numRef>
              <c:f>'Mid-Project Release plan'!$E$9:$E$14</c:f>
              <c:numCache/>
            </c:numRef>
          </c:val>
        </c:ser>
        <c:axId val="1450297649"/>
        <c:axId val="1264535362"/>
      </c:barChart>
      <c:catAx>
        <c:axId val="1450297649"/>
        <c:scaling>
          <c:orientation val="minMax"/>
        </c:scaling>
        <c:delete val="0"/>
        <c:axPos val="b"/>
        <c:title>
          <c:tx>
            <c:rich>
              <a:bodyPr/>
              <a:lstStyle/>
              <a:p>
                <a:pPr lvl="0">
                  <a:defRPr b="0">
                    <a:solidFill>
                      <a:srgbClr val="000000"/>
                    </a:solidFill>
                    <a:latin typeface="Roboto"/>
                  </a:defRPr>
                </a:pPr>
                <a:r>
                  <a:rPr b="0">
                    <a:solidFill>
                      <a:srgbClr val="000000"/>
                    </a:solidFill>
                    <a:latin typeface="Roboto"/>
                  </a:rPr>
                  <a:t>Sprint</a:t>
                </a:r>
              </a:p>
            </c:rich>
          </c:tx>
          <c:overlay val="0"/>
        </c:title>
        <c:numFmt formatCode="General" sourceLinked="1"/>
        <c:majorTickMark val="none"/>
        <c:minorTickMark val="none"/>
        <c:spPr/>
        <c:txPr>
          <a:bodyPr/>
          <a:lstStyle/>
          <a:p>
            <a:pPr lvl="0">
              <a:defRPr b="0">
                <a:solidFill>
                  <a:srgbClr val="000000"/>
                </a:solidFill>
                <a:latin typeface="Roboto"/>
              </a:defRPr>
            </a:pPr>
          </a:p>
        </c:txPr>
        <c:crossAx val="1264535362"/>
      </c:catAx>
      <c:valAx>
        <c:axId val="12645353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Roboto"/>
                  </a:defRPr>
                </a:pPr>
                <a:r>
                  <a:rPr b="0">
                    <a:solidFill>
                      <a:srgbClr val="000000"/>
                    </a:solidFill>
                    <a:latin typeface="Roboto"/>
                  </a:rPr>
                  <a:t>Story Points</a:t>
                </a:r>
              </a:p>
            </c:rich>
          </c:tx>
          <c:overlay val="0"/>
        </c:title>
        <c:numFmt formatCode="General" sourceLinked="1"/>
        <c:majorTickMark val="none"/>
        <c:minorTickMark val="none"/>
        <c:tickLblPos val="nextTo"/>
        <c:spPr>
          <a:ln/>
        </c:spPr>
        <c:txPr>
          <a:bodyPr/>
          <a:lstStyle/>
          <a:p>
            <a:pPr lvl="0">
              <a:defRPr b="0">
                <a:solidFill>
                  <a:srgbClr val="000000"/>
                </a:solidFill>
                <a:latin typeface="Roboto"/>
              </a:defRPr>
            </a:pPr>
          </a:p>
        </c:txPr>
        <c:crossAx val="1450297649"/>
      </c:valAx>
    </c:plotArea>
    <c:legend>
      <c:legendPos val="r"/>
      <c:overlay val="0"/>
      <c:txPr>
        <a:bodyPr/>
        <a:lstStyle/>
        <a:p>
          <a:pPr lvl="0">
            <a:defRPr b="0">
              <a:solidFill>
                <a:srgbClr val="000000"/>
              </a:solidFill>
              <a:latin typeface="Roboto"/>
            </a:defRPr>
          </a:pPr>
        </a:p>
      </c:txPr>
    </c:legend>
    <c:plotVisOnly val="1"/>
  </c:chart>
</c:chartSpace>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0363200" cy="63436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9496425" cy="5857875"/>
    <xdr:graphicFrame>
      <xdr:nvGraphicFramePr>
        <xdr:cNvPr id="2" name="Chart 2" title="Chart"/>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20" displayName="Table_1" name="Table_1" id="1">
  <tableColumns count="2">
    <tableColumn name="Project Name" id="1"/>
    <tableColumn name="Robot Visual Perception" id="2"/>
  </tableColumns>
  <tableStyleInfo name="Project Data-style" showColumnStripes="0" showFirstColumn="1" showLastColumn="1" showRowStripes="1"/>
</table>
</file>

<file path=xl/tables/table2.xml><?xml version="1.0" encoding="utf-8"?>
<table xmlns="http://schemas.openxmlformats.org/spreadsheetml/2006/main" ref="A1:D19" displayName="Table_2" name="Table_2" id="2">
  <tableColumns count="4">
    <tableColumn name="Last Name" id="1"/>
    <tableColumn name="First Name" id="2"/>
    <tableColumn name="GitHub User Name" id="3"/>
    <tableColumn name="Email Address" id="4"/>
  </tableColumns>
  <tableStyleInfo name="Project Team-style" showColumnStripes="0" showFirstColumn="1" showLastColumn="1" showRowStripes="1"/>
</table>
</file>

<file path=xl/tables/table3.xml><?xml version="1.0" encoding="utf-8"?>
<table xmlns="http://schemas.openxmlformats.org/spreadsheetml/2006/main" ref="A2:H21" displayName="Table_3" name="Table_3" id="3">
  <tableColumns count="8">
    <tableColumn name="#" id="1"/>
    <tableColumn name="Meeting Day" id="2"/>
    <tableColumn name="Review" id="3"/>
    <tableColumn name="Planning" id="4"/>
    <tableColumn name="Software Developer" id="5"/>
    <tableColumn name="Release Manager" id="6"/>
    <tableColumn name="Scrum Master" id="7"/>
    <tableColumn name="Comment" id="8"/>
  </tableColumns>
  <tableStyleInfo name="Role Assignments-style" showColumnStripes="0" showFirstColumn="1" showLastColumn="1" showRowStripes="1"/>
</table>
</file>

<file path=xl/tables/table4.xml><?xml version="1.0" encoding="utf-8"?>
<table xmlns="http://schemas.openxmlformats.org/spreadsheetml/2006/main" ref="A1:B30" displayName="Table_4" name="Table_4" id="4">
  <tableColumns count="2">
    <tableColumn name="Goals" id="1"/>
    <tableColumn name="Development of a visual perception system for robots with an accuracy of &gt;= 90%" id="2"/>
  </tableColumns>
  <tableStyleInfo name="Team Contract-style" showColumnStripes="0" showFirstColumn="1" showLastColumn="1" showRowStripes="1"/>
</table>
</file>

<file path=xl/tables/table5.xml><?xml version="1.0" encoding="utf-8"?>
<table xmlns="http://schemas.openxmlformats.org/spreadsheetml/2006/main" ref="A1:B20" displayName="Table_5" name="Table_5" id="5">
  <tableColumns count="2">
    <tableColumn name="Term" id="1"/>
    <tableColumn name="Definition" id="2"/>
  </tableColumns>
  <tableStyleInfo name="Product Glossary-style" showColumnStripes="0" showFirstColumn="1" showLastColumn="1" showRowStripes="1"/>
</table>
</file>

<file path=xl/tables/table6.xml><?xml version="1.0" encoding="utf-8"?>
<table xmlns="http://schemas.openxmlformats.org/spreadsheetml/2006/main" ref="A1:B20" displayName="Table_6" name="Table_6" id="6">
  <tableColumns count="2">
    <tableColumn name="Sprint #" id="1"/>
    <tableColumn name="Sprint goal" id="2"/>
  </tableColumns>
  <tableStyleInfo name="Sprint Goals-style" showColumnStripes="0" showFirstColumn="1" showLastColumn="1" showRowStripes="1"/>
</table>
</file>

<file path=xl/tables/table7.xml><?xml version="1.0" encoding="utf-8"?>
<table xmlns="http://schemas.openxmlformats.org/spreadsheetml/2006/main" ref="A1:B20" displayName="Table_7" name="Table_7" id="7">
  <tableColumns count="2">
    <tableColumn name="Sprint #" id="1"/>
    <tableColumn name="Story Points Realized" id="2"/>
  </tableColumns>
  <tableStyleInfo name="Velocity Tracking-style" showColumnStripes="0" showFirstColumn="1" showLastColumn="1" showRowStripes="1"/>
</table>
</file>

<file path=xl/tables/table8.xml><?xml version="1.0" encoding="utf-8"?>
<table xmlns="http://schemas.openxmlformats.org/spreadsheetml/2006/main" ref="A1:G52" displayName="Table_8" name="Table_8" id="8">
  <tableColumns count="7">
    <tableColumn name="Sprint" id="1"/>
    <tableColumn name="Goal" id="2"/>
    <tableColumn name="Feature Name" id="3"/>
    <tableColumn name="Est. size" id="4"/>
    <tableColumn name="Est. remaining" id="5"/>
    <tableColumn name="Real size" id="6"/>
    <tableColumn name="Real remaining" id="7"/>
  </tableColumns>
  <tableStyleInfo name="Mid-Project Release plan-style" showColumnStripes="0" showFirstColumn="1" showLastColumn="1" showRowStripes="1"/>
</table>
</file>

<file path=xl/tables/table9.xml><?xml version="1.0" encoding="utf-8"?>
<table xmlns="http://schemas.openxmlformats.org/spreadsheetml/2006/main" headerRowCount="0" ref="A1:A36" displayName="Table_9" name="Table_9" id="9">
  <tableColumns count="1">
    <tableColumn name="Column1" id="1"/>
  </tableColumns>
  <tableStyleInfo name="Burndown Chart-style"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ref="A1:G34" displayName="Table_10" name="Table_10" id="10">
  <tableColumns count="7">
    <tableColumn name="Sprint" id="1"/>
    <tableColumn name="Goal" id="2"/>
    <tableColumn name="Feature Name" id="3"/>
    <tableColumn name="Est. size" id="4"/>
    <tableColumn name="Est. remaining" id="5"/>
    <tableColumn name="Real size" id="6"/>
    <tableColumn name="Real remaining" id="7"/>
  </tableColumns>
  <tableStyleInfo name="Final Project Release plan-style" showColumnStripes="0" showFirstColumn="1" showLastColumn="1" showRowStripes="1"/>
</table>
</file>

<file path=xl/tables/table11.xml><?xml version="1.0" encoding="utf-8"?>
<table xmlns="http://schemas.openxmlformats.org/spreadsheetml/2006/main" ref="A1:D20" displayName="Table_11" name="Table_11" id="11">
  <tableColumns count="4">
    <tableColumn name="#" id="1"/>
    <tableColumn name="Feature Definition of Done" id="2"/>
    <tableColumn name="Sprint Release Definition of Done" id="3"/>
    <tableColumn name="Project Release Definition of Done" id="4"/>
  </tableColumns>
  <tableStyleInfo name="Definition of Done-style" showColumnStripes="0" showFirstColumn="1" showLastColumn="1" showRowStripes="1"/>
</table>
</file>

<file path=xl/tables/table12.xml><?xml version="1.0" encoding="utf-8"?>
<table xmlns="http://schemas.openxmlformats.org/spreadsheetml/2006/main" ref="A1:B20" displayName="Table_12" name="Table_12" id="12">
  <tableColumns count="2">
    <tableColumn name="Type" id="1"/>
    <tableColumn name="Link / reference" id="2"/>
  </tableColumns>
  <tableStyleInfo name="Documentation-style" showColumnStripes="0" showFirstColumn="1" showLastColumn="1" showRowStripes="1"/>
</table>
</file>

<file path=xl/tables/table13.xml><?xml version="1.0" encoding="utf-8"?>
<table xmlns="http://schemas.openxmlformats.org/spreadsheetml/2006/main" ref="A1:H45" displayName="Table_13" name="Table_13" id="13">
  <tableColumns count="8">
    <tableColumn name="#" id="1"/>
    <tableColumn name="Context" id="2"/>
    <tableColumn name="Name" id="3"/>
    <tableColumn name="Version" id="4"/>
    <tableColumn name="License" id="5"/>
    <tableColumn name="Comment" id="6"/>
    <tableColumn name="Status" id="7"/>
    <tableColumn name="Change Info" id="8"/>
  </tableColumns>
  <tableStyleInfo name="Bill of Materials-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fau.zoom-x.de/j/62836031488" TargetMode="External"/><Relationship Id="rId2" Type="http://schemas.openxmlformats.org/officeDocument/2006/relationships/hyperlink" Target="https://github.com/amosproj/amos2025ws04-robot-visual-perception" TargetMode="External"/><Relationship Id="rId3" Type="http://schemas.openxmlformats.org/officeDocument/2006/relationships/hyperlink" Target="https://github.com/orgs/amosproj/projects/92" TargetMode="External"/><Relationship Id="rId4" Type="http://schemas.openxmlformats.org/officeDocument/2006/relationships/hyperlink" Target="https://github.com/orgs/amosproj/projects/95" TargetMode="External"/><Relationship Id="rId11" Type="http://schemas.openxmlformats.org/officeDocument/2006/relationships/table" Target="../tables/table1.xml"/><Relationship Id="rId9" Type="http://schemas.openxmlformats.org/officeDocument/2006/relationships/drawing" Target="../drawings/drawing1.xml"/><Relationship Id="rId5" Type="http://schemas.openxmlformats.org/officeDocument/2006/relationships/hyperlink" Target="https://www.shirtinator.de/s/E_eIf-ElT4iidRVnqM8J5w" TargetMode="External"/><Relationship Id="rId6" Type="http://schemas.openxmlformats.org/officeDocument/2006/relationships/hyperlink" Target="https://www.shirtinator.de/s/R0CANDdWTRCOvCohq_encA" TargetMode="External"/><Relationship Id="rId7" Type="http://schemas.openxmlformats.org/officeDocument/2006/relationships/hyperlink" Target="https://discord.gg/VDqD2Zfb" TargetMode="External"/><Relationship Id="rId8" Type="http://schemas.openxmlformats.org/officeDocument/2006/relationships/hyperlink" Target="https://happy-amos.appspot.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anuun.ch/" TargetMode="External"/><Relationship Id="rId2" Type="http://schemas.openxmlformats.org/officeDocument/2006/relationships/drawing" Target="../drawings/drawing2.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1" t="s">
        <v>0</v>
      </c>
      <c r="B1" s="2" t="s">
        <v>1</v>
      </c>
    </row>
    <row r="2">
      <c r="A2" s="1"/>
      <c r="B2" s="3"/>
    </row>
    <row r="3">
      <c r="A3" s="4" t="s">
        <v>2</v>
      </c>
      <c r="B3" s="5" t="s">
        <v>3</v>
      </c>
    </row>
    <row r="4">
      <c r="A4" s="1"/>
      <c r="B4" s="3"/>
    </row>
    <row r="5">
      <c r="A5" s="4" t="s">
        <v>4</v>
      </c>
      <c r="B5" s="2" t="s">
        <v>5</v>
      </c>
    </row>
    <row r="6">
      <c r="A6" s="4" t="s">
        <v>6</v>
      </c>
      <c r="B6" s="2" t="s">
        <v>7</v>
      </c>
    </row>
    <row r="7">
      <c r="A7" s="1"/>
      <c r="B7" s="3"/>
    </row>
    <row r="8">
      <c r="A8" s="4" t="s">
        <v>8</v>
      </c>
      <c r="B8" s="6" t="s">
        <v>9</v>
      </c>
    </row>
    <row r="9">
      <c r="A9" s="4" t="s">
        <v>10</v>
      </c>
      <c r="B9" s="6" t="s">
        <v>11</v>
      </c>
    </row>
    <row r="10">
      <c r="A10" s="4" t="s">
        <v>12</v>
      </c>
      <c r="B10" s="6" t="s">
        <v>13</v>
      </c>
    </row>
    <row r="11">
      <c r="A11" s="1"/>
      <c r="B11" s="3"/>
    </row>
    <row r="12">
      <c r="A12" s="4" t="s">
        <v>14</v>
      </c>
      <c r="B12" s="6" t="s">
        <v>15</v>
      </c>
    </row>
    <row r="13">
      <c r="A13" s="4" t="s">
        <v>16</v>
      </c>
      <c r="B13" s="6" t="s">
        <v>17</v>
      </c>
    </row>
    <row r="14">
      <c r="A14" s="1"/>
      <c r="B14" s="3"/>
    </row>
    <row r="15">
      <c r="A15" s="1" t="s">
        <v>18</v>
      </c>
      <c r="B15" s="6" t="s">
        <v>19</v>
      </c>
    </row>
    <row r="16">
      <c r="A16" s="1"/>
      <c r="B16" s="3"/>
    </row>
    <row r="17">
      <c r="A17" s="4" t="s">
        <v>20</v>
      </c>
      <c r="B17" s="2" t="s">
        <v>21</v>
      </c>
    </row>
    <row r="18">
      <c r="A18" s="1"/>
      <c r="B18" s="3"/>
    </row>
    <row r="19">
      <c r="A19" s="1"/>
      <c r="B19" s="7" t="s">
        <v>22</v>
      </c>
    </row>
    <row r="20">
      <c r="A20" s="1"/>
      <c r="B20" s="2" t="s">
        <v>23</v>
      </c>
    </row>
  </sheetData>
  <hyperlinks>
    <hyperlink r:id="rId1" ref="B3"/>
    <hyperlink r:id="rId2" ref="B8"/>
    <hyperlink r:id="rId3" ref="B9"/>
    <hyperlink r:id="rId4" ref="B10"/>
    <hyperlink r:id="rId5" ref="B12"/>
    <hyperlink r:id="rId6" ref="B13"/>
    <hyperlink r:id="rId7" ref="B15"/>
    <hyperlink r:id="rId8" ref="B19"/>
  </hyperlinks>
  <printOptions gridLines="1" horizontalCentered="1"/>
  <pageMargins bottom="0.75" footer="0.0" header="0.0" left="0.7" right="0.7" top="0.75"/>
  <pageSetup fitToHeight="0" paperSize="9" cellComments="atEnd" orientation="landscape" pageOrder="overThenDown"/>
  <drawing r:id="rId9"/>
  <tableParts count="1">
    <tablePart r:id="rId1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4" width="31.38"/>
  </cols>
  <sheetData>
    <row r="1">
      <c r="A1" s="8" t="s">
        <v>24</v>
      </c>
      <c r="B1" s="8" t="s">
        <v>25</v>
      </c>
      <c r="C1" s="8" t="s">
        <v>26</v>
      </c>
      <c r="D1" s="8" t="s">
        <v>27</v>
      </c>
    </row>
    <row r="2">
      <c r="A2" s="9" t="s">
        <v>28</v>
      </c>
      <c r="B2" s="9" t="s">
        <v>29</v>
      </c>
      <c r="C2" s="9" t="s">
        <v>30</v>
      </c>
      <c r="D2" s="9" t="s">
        <v>31</v>
      </c>
    </row>
    <row r="3">
      <c r="A3" s="9" t="s">
        <v>32</v>
      </c>
      <c r="B3" s="9" t="s">
        <v>33</v>
      </c>
      <c r="C3" s="9" t="s">
        <v>34</v>
      </c>
      <c r="D3" s="9" t="s">
        <v>35</v>
      </c>
    </row>
    <row r="4">
      <c r="A4" s="9" t="s">
        <v>36</v>
      </c>
      <c r="B4" s="9" t="s">
        <v>37</v>
      </c>
      <c r="C4" s="9" t="s">
        <v>38</v>
      </c>
      <c r="D4" s="10" t="s">
        <v>39</v>
      </c>
    </row>
    <row r="5">
      <c r="A5" s="9" t="s">
        <v>40</v>
      </c>
      <c r="B5" s="9" t="s">
        <v>41</v>
      </c>
      <c r="C5" s="9" t="s">
        <v>42</v>
      </c>
      <c r="D5" s="9" t="s">
        <v>43</v>
      </c>
    </row>
    <row r="6">
      <c r="A6" s="9" t="s">
        <v>44</v>
      </c>
      <c r="B6" s="9" t="s">
        <v>45</v>
      </c>
      <c r="C6" s="9" t="s">
        <v>46</v>
      </c>
      <c r="D6" s="9" t="s">
        <v>47</v>
      </c>
    </row>
    <row r="7">
      <c r="A7" s="9" t="s">
        <v>48</v>
      </c>
      <c r="B7" s="9" t="s">
        <v>49</v>
      </c>
      <c r="C7" s="9" t="s">
        <v>50</v>
      </c>
      <c r="D7" s="9" t="s">
        <v>51</v>
      </c>
    </row>
    <row r="8">
      <c r="A8" s="9" t="s">
        <v>52</v>
      </c>
      <c r="B8" s="9" t="s">
        <v>53</v>
      </c>
      <c r="C8" s="9" t="s">
        <v>54</v>
      </c>
      <c r="D8" s="9" t="s">
        <v>55</v>
      </c>
    </row>
    <row r="9">
      <c r="A9" s="9" t="s">
        <v>56</v>
      </c>
      <c r="B9" s="9" t="s">
        <v>57</v>
      </c>
      <c r="C9" s="9" t="s">
        <v>58</v>
      </c>
      <c r="D9" s="11" t="s">
        <v>59</v>
      </c>
    </row>
    <row r="10">
      <c r="A10" s="9" t="s">
        <v>60</v>
      </c>
      <c r="B10" s="9" t="s">
        <v>61</v>
      </c>
      <c r="C10" s="9" t="s">
        <v>62</v>
      </c>
      <c r="D10" s="9" t="s">
        <v>63</v>
      </c>
    </row>
    <row r="11">
      <c r="A11" s="12"/>
      <c r="B11" s="12"/>
      <c r="C11" s="12"/>
      <c r="D11" s="12"/>
    </row>
    <row r="12">
      <c r="A12" s="8"/>
      <c r="B12" s="13"/>
      <c r="C12" s="13"/>
      <c r="D12" s="13"/>
    </row>
    <row r="13">
      <c r="A13" s="12"/>
      <c r="B13" s="9"/>
      <c r="C13" s="12"/>
      <c r="D13" s="12"/>
    </row>
    <row r="14">
      <c r="A14" s="12"/>
      <c r="B14" s="9"/>
      <c r="C14" s="12"/>
      <c r="D14" s="12"/>
    </row>
    <row r="15">
      <c r="A15" s="12"/>
      <c r="B15" s="12"/>
      <c r="C15" s="12"/>
      <c r="D15" s="12"/>
    </row>
    <row r="16">
      <c r="A16" s="12"/>
      <c r="B16" s="12"/>
      <c r="C16" s="12"/>
      <c r="D16" s="12"/>
    </row>
    <row r="17">
      <c r="A17" s="12"/>
      <c r="B17" s="12"/>
      <c r="C17" s="12"/>
      <c r="D17" s="12"/>
    </row>
    <row r="18">
      <c r="A18" s="12"/>
      <c r="B18" s="12"/>
      <c r="C18" s="12"/>
      <c r="D18" s="12"/>
    </row>
    <row r="19">
      <c r="A19" s="12"/>
      <c r="B19" s="12"/>
      <c r="C19" s="12"/>
      <c r="D19" s="12"/>
    </row>
  </sheetData>
  <hyperlinks>
    <hyperlink r:id="rId1" ref="D4"/>
  </hyperlinks>
  <drawing r:id="rId2"/>
  <tableParts count="1">
    <tablePart r:id="rId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2.75"/>
  <cols>
    <col customWidth="1" min="1" max="1" width="5.5"/>
    <col customWidth="1" min="2" max="2" width="12.63"/>
    <col customWidth="1" min="3" max="7" width="18.88"/>
    <col customWidth="1" min="8" max="8" width="50.13"/>
  </cols>
  <sheetData>
    <row r="1">
      <c r="A1" s="14"/>
      <c r="B1" s="14"/>
      <c r="C1" s="14" t="s">
        <v>64</v>
      </c>
      <c r="E1" s="14"/>
      <c r="F1" s="15"/>
      <c r="G1" s="15"/>
      <c r="H1" s="14"/>
    </row>
    <row r="2">
      <c r="A2" s="16" t="s">
        <v>65</v>
      </c>
      <c r="B2" s="16" t="s">
        <v>66</v>
      </c>
      <c r="C2" s="16" t="s">
        <v>67</v>
      </c>
      <c r="D2" s="16" t="s">
        <v>68</v>
      </c>
      <c r="E2" s="16" t="s">
        <v>69</v>
      </c>
      <c r="F2" s="17" t="s">
        <v>70</v>
      </c>
      <c r="G2" s="17" t="s">
        <v>71</v>
      </c>
      <c r="H2" s="16" t="s">
        <v>72</v>
      </c>
    </row>
    <row r="3">
      <c r="A3" s="18">
        <v>1.0</v>
      </c>
      <c r="B3" s="19">
        <v>45952.0</v>
      </c>
      <c r="C3" s="9" t="s">
        <v>73</v>
      </c>
      <c r="D3" s="9" t="s">
        <v>74</v>
      </c>
      <c r="E3" s="9" t="s">
        <v>75</v>
      </c>
      <c r="F3" s="9" t="s">
        <v>76</v>
      </c>
      <c r="G3" s="9" t="s">
        <v>77</v>
      </c>
      <c r="H3" s="20" t="s">
        <v>78</v>
      </c>
    </row>
    <row r="4">
      <c r="A4" s="18">
        <v>2.0</v>
      </c>
      <c r="B4" s="21">
        <f t="shared" ref="B4:B11" si="1">B3+7</f>
        <v>45959</v>
      </c>
      <c r="C4" s="9" t="s">
        <v>74</v>
      </c>
      <c r="D4" s="9" t="s">
        <v>73</v>
      </c>
      <c r="E4" s="9" t="s">
        <v>75</v>
      </c>
      <c r="F4" s="9" t="s">
        <v>79</v>
      </c>
      <c r="G4" s="9" t="s">
        <v>77</v>
      </c>
      <c r="H4" s="22"/>
    </row>
    <row r="5">
      <c r="A5" s="18">
        <v>3.0</v>
      </c>
      <c r="B5" s="21">
        <f t="shared" si="1"/>
        <v>45966</v>
      </c>
      <c r="C5" s="9" t="s">
        <v>74</v>
      </c>
      <c r="D5" s="9" t="s">
        <v>73</v>
      </c>
      <c r="E5" s="9" t="s">
        <v>75</v>
      </c>
      <c r="F5" s="9" t="s">
        <v>80</v>
      </c>
      <c r="G5" s="9" t="s">
        <v>77</v>
      </c>
      <c r="H5" s="22"/>
    </row>
    <row r="6">
      <c r="A6" s="18">
        <v>4.0</v>
      </c>
      <c r="B6" s="21">
        <f t="shared" si="1"/>
        <v>45973</v>
      </c>
      <c r="C6" s="9" t="s">
        <v>73</v>
      </c>
      <c r="D6" s="9" t="s">
        <v>74</v>
      </c>
      <c r="E6" s="9" t="s">
        <v>75</v>
      </c>
      <c r="F6" s="9" t="s">
        <v>80</v>
      </c>
      <c r="G6" s="9" t="s">
        <v>77</v>
      </c>
      <c r="H6" s="22"/>
    </row>
    <row r="7">
      <c r="A7" s="18">
        <v>5.0</v>
      </c>
      <c r="B7" s="21">
        <f t="shared" si="1"/>
        <v>45980</v>
      </c>
      <c r="C7" s="9" t="s">
        <v>73</v>
      </c>
      <c r="D7" s="9" t="s">
        <v>74</v>
      </c>
      <c r="E7" s="9" t="s">
        <v>75</v>
      </c>
      <c r="F7" s="9" t="s">
        <v>79</v>
      </c>
      <c r="G7" s="9" t="s">
        <v>77</v>
      </c>
      <c r="H7" s="22"/>
    </row>
    <row r="8">
      <c r="A8" s="18">
        <v>6.0</v>
      </c>
      <c r="B8" s="21">
        <f t="shared" si="1"/>
        <v>45987</v>
      </c>
      <c r="C8" s="9" t="s">
        <v>74</v>
      </c>
      <c r="D8" s="9" t="s">
        <v>73</v>
      </c>
      <c r="E8" s="9" t="s">
        <v>75</v>
      </c>
      <c r="F8" s="9" t="s">
        <v>81</v>
      </c>
      <c r="G8" s="9" t="s">
        <v>77</v>
      </c>
      <c r="H8" s="22"/>
    </row>
    <row r="9">
      <c r="A9" s="18">
        <v>7.0</v>
      </c>
      <c r="B9" s="21">
        <f t="shared" si="1"/>
        <v>45994</v>
      </c>
      <c r="C9" s="9" t="s">
        <v>73</v>
      </c>
      <c r="D9" s="9" t="s">
        <v>74</v>
      </c>
      <c r="E9" s="9" t="s">
        <v>75</v>
      </c>
      <c r="F9" s="9" t="s">
        <v>81</v>
      </c>
      <c r="G9" s="9" t="s">
        <v>77</v>
      </c>
      <c r="H9" s="20" t="s">
        <v>82</v>
      </c>
    </row>
    <row r="10">
      <c r="A10" s="18">
        <v>8.0</v>
      </c>
      <c r="B10" s="21">
        <f t="shared" si="1"/>
        <v>46001</v>
      </c>
      <c r="C10" s="9" t="s">
        <v>74</v>
      </c>
      <c r="D10" s="9" t="s">
        <v>73</v>
      </c>
      <c r="E10" s="9" t="s">
        <v>75</v>
      </c>
      <c r="F10" s="9" t="s">
        <v>76</v>
      </c>
      <c r="G10" s="9" t="s">
        <v>77</v>
      </c>
      <c r="H10" s="22"/>
    </row>
    <row r="11">
      <c r="A11" s="18">
        <v>9.0</v>
      </c>
      <c r="B11" s="21">
        <f t="shared" si="1"/>
        <v>46008</v>
      </c>
      <c r="C11" s="9" t="s">
        <v>73</v>
      </c>
      <c r="D11" s="9" t="s">
        <v>74</v>
      </c>
      <c r="E11" s="9" t="s">
        <v>75</v>
      </c>
      <c r="F11" s="9" t="s">
        <v>83</v>
      </c>
      <c r="G11" s="9" t="s">
        <v>77</v>
      </c>
      <c r="H11" s="22"/>
    </row>
    <row r="12">
      <c r="A12" s="18">
        <v>10.0</v>
      </c>
      <c r="B12" s="19">
        <v>44937.0</v>
      </c>
      <c r="C12" s="9" t="s">
        <v>74</v>
      </c>
      <c r="D12" s="9" t="s">
        <v>73</v>
      </c>
      <c r="E12" s="9" t="s">
        <v>75</v>
      </c>
      <c r="F12" s="9" t="s">
        <v>83</v>
      </c>
      <c r="G12" s="9" t="s">
        <v>77</v>
      </c>
      <c r="H12" s="22"/>
    </row>
    <row r="13">
      <c r="A13" s="18">
        <v>11.0</v>
      </c>
      <c r="B13" s="21">
        <f t="shared" ref="B13:B17" si="2">B12+7</f>
        <v>44944</v>
      </c>
      <c r="C13" s="9" t="s">
        <v>73</v>
      </c>
      <c r="D13" s="9" t="s">
        <v>74</v>
      </c>
      <c r="E13" s="9" t="s">
        <v>75</v>
      </c>
      <c r="F13" s="9" t="s">
        <v>84</v>
      </c>
      <c r="G13" s="9" t="s">
        <v>77</v>
      </c>
      <c r="H13" s="22"/>
    </row>
    <row r="14">
      <c r="A14" s="18">
        <v>12.0</v>
      </c>
      <c r="B14" s="21">
        <f t="shared" si="2"/>
        <v>44951</v>
      </c>
      <c r="C14" s="9" t="s">
        <v>74</v>
      </c>
      <c r="D14" s="9" t="s">
        <v>73</v>
      </c>
      <c r="E14" s="9" t="s">
        <v>75</v>
      </c>
      <c r="F14" s="9" t="s">
        <v>84</v>
      </c>
      <c r="G14" s="9" t="s">
        <v>77</v>
      </c>
      <c r="H14" s="22"/>
    </row>
    <row r="15">
      <c r="A15" s="18">
        <v>13.0</v>
      </c>
      <c r="B15" s="21">
        <f t="shared" si="2"/>
        <v>44958</v>
      </c>
      <c r="C15" s="9" t="s">
        <v>73</v>
      </c>
      <c r="D15" s="9" t="s">
        <v>74</v>
      </c>
      <c r="E15" s="9" t="s">
        <v>75</v>
      </c>
      <c r="F15" s="12"/>
      <c r="G15" s="9" t="s">
        <v>77</v>
      </c>
      <c r="H15" s="22"/>
    </row>
    <row r="16">
      <c r="A16" s="18">
        <v>14.0</v>
      </c>
      <c r="B16" s="21">
        <f t="shared" si="2"/>
        <v>44965</v>
      </c>
      <c r="C16" s="9" t="s">
        <v>74</v>
      </c>
      <c r="D16" s="9" t="s">
        <v>73</v>
      </c>
      <c r="E16" s="9" t="s">
        <v>75</v>
      </c>
      <c r="F16" s="12"/>
      <c r="G16" s="9" t="s">
        <v>77</v>
      </c>
      <c r="H16" s="20" t="s">
        <v>85</v>
      </c>
    </row>
    <row r="17">
      <c r="A17" s="18">
        <v>15.0</v>
      </c>
      <c r="B17" s="21">
        <f t="shared" si="2"/>
        <v>44972</v>
      </c>
      <c r="C17" s="9" t="s">
        <v>73</v>
      </c>
      <c r="D17" s="9" t="s">
        <v>74</v>
      </c>
      <c r="E17" s="9" t="s">
        <v>75</v>
      </c>
      <c r="F17" s="12"/>
      <c r="G17" s="9" t="s">
        <v>77</v>
      </c>
      <c r="H17" s="20" t="s">
        <v>86</v>
      </c>
    </row>
    <row r="18">
      <c r="A18" s="18"/>
      <c r="B18" s="23"/>
      <c r="C18" s="12"/>
      <c r="D18" s="12"/>
      <c r="E18" s="12"/>
      <c r="F18" s="12"/>
      <c r="G18" s="12"/>
      <c r="H18" s="24"/>
    </row>
    <row r="19">
      <c r="A19" s="20" t="s">
        <v>87</v>
      </c>
      <c r="B19" s="25"/>
      <c r="C19" s="26"/>
      <c r="D19" s="26"/>
      <c r="E19" s="26"/>
      <c r="F19" s="26"/>
      <c r="G19" s="26"/>
      <c r="H19" s="24"/>
    </row>
    <row r="20">
      <c r="A20" s="26"/>
      <c r="B20" s="23"/>
      <c r="C20" s="12"/>
      <c r="D20" s="12"/>
      <c r="E20" s="12"/>
      <c r="F20" s="12"/>
      <c r="G20" s="12"/>
      <c r="H20" s="24"/>
    </row>
    <row r="21">
      <c r="A21" s="18"/>
      <c r="B21" s="23"/>
      <c r="C21" s="12"/>
      <c r="D21" s="12"/>
      <c r="E21" s="12"/>
      <c r="F21" s="12"/>
      <c r="G21" s="12"/>
      <c r="H21" s="24"/>
    </row>
  </sheetData>
  <mergeCells count="1">
    <mergeCell ref="C1:D1"/>
  </mergeCell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2.75"/>
  <cols>
    <col customWidth="1" min="1" max="1" width="25.13"/>
    <col customWidth="1" min="2" max="2" width="100.13"/>
  </cols>
  <sheetData>
    <row r="1">
      <c r="A1" s="27" t="s">
        <v>88</v>
      </c>
      <c r="B1" s="28" t="s">
        <v>89</v>
      </c>
    </row>
    <row r="2">
      <c r="A2" s="29"/>
      <c r="B2" s="30"/>
    </row>
    <row r="3">
      <c r="A3" s="31" t="s">
        <v>90</v>
      </c>
      <c r="B3" s="28" t="s">
        <v>91</v>
      </c>
    </row>
    <row r="4">
      <c r="A4" s="29"/>
      <c r="B4" s="30"/>
    </row>
    <row r="5">
      <c r="A5" s="31" t="s">
        <v>92</v>
      </c>
      <c r="B5" s="28" t="s">
        <v>93</v>
      </c>
    </row>
    <row r="6">
      <c r="A6" s="29"/>
      <c r="B6" s="30"/>
    </row>
    <row r="7">
      <c r="A7" s="31" t="s">
        <v>94</v>
      </c>
      <c r="B7" s="28" t="s">
        <v>95</v>
      </c>
    </row>
    <row r="8">
      <c r="A8" s="29"/>
      <c r="B8" s="30"/>
    </row>
    <row r="9">
      <c r="A9" s="31" t="s">
        <v>96</v>
      </c>
      <c r="B9" s="28" t="s">
        <v>97</v>
      </c>
    </row>
    <row r="10">
      <c r="A10" s="29"/>
      <c r="B10" s="30"/>
    </row>
    <row r="11">
      <c r="A11" s="31" t="s">
        <v>98</v>
      </c>
      <c r="B11" s="32"/>
    </row>
    <row r="12">
      <c r="A12" s="30"/>
      <c r="B12" s="30"/>
    </row>
    <row r="13">
      <c r="A13" s="31" t="s">
        <v>99</v>
      </c>
      <c r="B13" s="32"/>
    </row>
    <row r="14">
      <c r="A14" s="30"/>
      <c r="B14" s="30"/>
    </row>
    <row r="15">
      <c r="A15" s="33" t="s">
        <v>100</v>
      </c>
      <c r="B15" s="28" t="s">
        <v>101</v>
      </c>
    </row>
    <row r="16">
      <c r="A16" s="30"/>
      <c r="B16" s="30"/>
    </row>
    <row r="17">
      <c r="A17" s="33" t="s">
        <v>102</v>
      </c>
      <c r="B17" s="28" t="s">
        <v>103</v>
      </c>
    </row>
    <row r="18">
      <c r="A18" s="30"/>
      <c r="B18" s="30"/>
    </row>
    <row r="19">
      <c r="A19" s="31" t="s">
        <v>104</v>
      </c>
      <c r="B19" s="33"/>
    </row>
    <row r="21">
      <c r="A21" s="34" t="s">
        <v>71</v>
      </c>
      <c r="B21" s="35" t="s">
        <v>77</v>
      </c>
    </row>
    <row r="22">
      <c r="A22" s="34" t="s">
        <v>105</v>
      </c>
      <c r="B22" s="35" t="s">
        <v>73</v>
      </c>
    </row>
    <row r="23">
      <c r="A23" s="34" t="s">
        <v>105</v>
      </c>
      <c r="B23" s="35" t="s">
        <v>74</v>
      </c>
    </row>
    <row r="24">
      <c r="A24" s="34" t="s">
        <v>106</v>
      </c>
      <c r="B24" s="35" t="s">
        <v>80</v>
      </c>
    </row>
    <row r="25">
      <c r="A25" s="34" t="s">
        <v>106</v>
      </c>
      <c r="B25" s="35" t="s">
        <v>81</v>
      </c>
    </row>
    <row r="26">
      <c r="A26" s="34" t="s">
        <v>106</v>
      </c>
      <c r="B26" s="35" t="s">
        <v>79</v>
      </c>
    </row>
    <row r="27">
      <c r="A27" s="34" t="s">
        <v>106</v>
      </c>
      <c r="B27" s="35" t="s">
        <v>76</v>
      </c>
    </row>
    <row r="28">
      <c r="A28" s="34" t="s">
        <v>106</v>
      </c>
      <c r="B28" s="35" t="s">
        <v>83</v>
      </c>
    </row>
    <row r="29">
      <c r="A29" s="34" t="s">
        <v>106</v>
      </c>
      <c r="B29" s="35" t="s">
        <v>84</v>
      </c>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2.63"/>
  </cols>
  <sheetData>
    <row r="1">
      <c r="A1" s="36" t="s">
        <v>107</v>
      </c>
      <c r="B1" s="36" t="s">
        <v>108</v>
      </c>
    </row>
    <row r="2">
      <c r="A2" s="37"/>
      <c r="B2" s="38"/>
    </row>
    <row r="3">
      <c r="A3" s="39" t="s">
        <v>109</v>
      </c>
      <c r="B3" s="39" t="s">
        <v>110</v>
      </c>
    </row>
  </sheetData>
  <mergeCells count="2">
    <mergeCell ref="A3:A20"/>
    <mergeCell ref="B3:B2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0" t="s">
        <v>111</v>
      </c>
      <c r="B1" s="40" t="s">
        <v>112</v>
      </c>
    </row>
    <row r="2">
      <c r="A2" s="3"/>
      <c r="B2" s="3"/>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1" t="s">
        <v>113</v>
      </c>
      <c r="B1" s="4" t="s">
        <v>114</v>
      </c>
    </row>
    <row r="2">
      <c r="A2" s="42">
        <v>1.0</v>
      </c>
      <c r="B2" s="2" t="s">
        <v>115</v>
      </c>
    </row>
    <row r="3">
      <c r="A3" s="42">
        <f t="shared" ref="A3:A16" si="1">A2+1</f>
        <v>2</v>
      </c>
      <c r="B3" s="2" t="s">
        <v>116</v>
      </c>
    </row>
    <row r="4">
      <c r="A4" s="42">
        <f t="shared" si="1"/>
        <v>3</v>
      </c>
      <c r="B4" s="2" t="s">
        <v>117</v>
      </c>
    </row>
    <row r="5">
      <c r="A5" s="42">
        <f t="shared" si="1"/>
        <v>4</v>
      </c>
      <c r="B5" s="35" t="s">
        <v>118</v>
      </c>
    </row>
    <row r="6">
      <c r="A6" s="42">
        <f t="shared" si="1"/>
        <v>5</v>
      </c>
      <c r="B6" s="2" t="s">
        <v>119</v>
      </c>
    </row>
    <row r="7">
      <c r="A7" s="42">
        <f t="shared" si="1"/>
        <v>6</v>
      </c>
      <c r="B7" s="3"/>
    </row>
    <row r="8">
      <c r="A8" s="42">
        <f t="shared" si="1"/>
        <v>7</v>
      </c>
      <c r="B8" s="3"/>
    </row>
    <row r="9">
      <c r="A9" s="42">
        <f t="shared" si="1"/>
        <v>8</v>
      </c>
      <c r="B9" s="3"/>
    </row>
    <row r="10">
      <c r="A10" s="42">
        <f t="shared" si="1"/>
        <v>9</v>
      </c>
      <c r="B10" s="3"/>
    </row>
    <row r="11">
      <c r="A11" s="42">
        <f t="shared" si="1"/>
        <v>10</v>
      </c>
      <c r="B11" s="3"/>
    </row>
    <row r="12">
      <c r="A12" s="42">
        <f t="shared" si="1"/>
        <v>11</v>
      </c>
      <c r="B12" s="3"/>
    </row>
    <row r="13">
      <c r="A13" s="42">
        <f t="shared" si="1"/>
        <v>12</v>
      </c>
      <c r="B13" s="3"/>
    </row>
    <row r="14">
      <c r="A14" s="42">
        <f t="shared" si="1"/>
        <v>13</v>
      </c>
      <c r="B14" s="3"/>
    </row>
    <row r="15">
      <c r="A15" s="42">
        <f t="shared" si="1"/>
        <v>14</v>
      </c>
      <c r="B15" s="3"/>
    </row>
    <row r="16">
      <c r="A16" s="42">
        <f t="shared" si="1"/>
        <v>15</v>
      </c>
      <c r="B16" s="3"/>
    </row>
    <row r="17">
      <c r="A17" s="42"/>
      <c r="B17" s="3"/>
    </row>
    <row r="18">
      <c r="A18" s="42"/>
      <c r="B18" s="3"/>
    </row>
    <row r="19">
      <c r="A19" s="43"/>
      <c r="B19" s="3"/>
    </row>
    <row r="20">
      <c r="A20" s="43"/>
      <c r="B20" s="3"/>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12.63"/>
    <col customWidth="1" min="2" max="2" width="112.63"/>
  </cols>
  <sheetData>
    <row r="1">
      <c r="A1" s="41" t="s">
        <v>113</v>
      </c>
      <c r="B1" s="4" t="s">
        <v>120</v>
      </c>
    </row>
    <row r="2">
      <c r="A2" s="42">
        <v>1.0</v>
      </c>
      <c r="B2" s="2">
        <v>0.0</v>
      </c>
    </row>
    <row r="3">
      <c r="A3" s="42">
        <f t="shared" ref="A3:A16" si="1">A2+1</f>
        <v>2</v>
      </c>
      <c r="B3" s="2">
        <f>SUM('Mid-Project Release plan'!B21:F24)</f>
        <v>14</v>
      </c>
    </row>
    <row r="4">
      <c r="A4" s="42">
        <f t="shared" si="1"/>
        <v>3</v>
      </c>
      <c r="B4" s="2">
        <f>SUM('Mid-Project Release plan'!B26:F32)</f>
        <v>22</v>
      </c>
    </row>
    <row r="5">
      <c r="A5" s="42">
        <f t="shared" si="1"/>
        <v>4</v>
      </c>
      <c r="B5" s="35">
        <f>SUM('Mid-Project Release plan'!B34:F36)</f>
        <v>11</v>
      </c>
    </row>
    <row r="6">
      <c r="A6" s="42">
        <f t="shared" si="1"/>
        <v>5</v>
      </c>
      <c r="B6" s="2"/>
    </row>
    <row r="7">
      <c r="A7" s="42">
        <f t="shared" si="1"/>
        <v>6</v>
      </c>
      <c r="B7" s="3"/>
    </row>
    <row r="8">
      <c r="A8" s="42">
        <f t="shared" si="1"/>
        <v>7</v>
      </c>
      <c r="B8" s="3"/>
    </row>
    <row r="9">
      <c r="A9" s="42">
        <f t="shared" si="1"/>
        <v>8</v>
      </c>
      <c r="B9" s="3"/>
    </row>
    <row r="10">
      <c r="A10" s="42">
        <f t="shared" si="1"/>
        <v>9</v>
      </c>
      <c r="B10" s="3"/>
    </row>
    <row r="11">
      <c r="A11" s="42">
        <f t="shared" si="1"/>
        <v>10</v>
      </c>
      <c r="B11" s="3"/>
    </row>
    <row r="12">
      <c r="A12" s="42">
        <f t="shared" si="1"/>
        <v>11</v>
      </c>
      <c r="B12" s="3"/>
    </row>
    <row r="13">
      <c r="A13" s="42">
        <f t="shared" si="1"/>
        <v>12</v>
      </c>
      <c r="B13" s="3"/>
    </row>
    <row r="14">
      <c r="A14" s="42">
        <f t="shared" si="1"/>
        <v>13</v>
      </c>
      <c r="B14" s="3"/>
    </row>
    <row r="15">
      <c r="A15" s="42">
        <f t="shared" si="1"/>
        <v>14</v>
      </c>
      <c r="B15" s="3"/>
    </row>
    <row r="16">
      <c r="A16" s="42">
        <f t="shared" si="1"/>
        <v>15</v>
      </c>
      <c r="B16" s="3"/>
    </row>
    <row r="17">
      <c r="A17" s="42"/>
      <c r="B17" s="3"/>
    </row>
    <row r="18">
      <c r="A18" s="42"/>
      <c r="B18" s="44"/>
    </row>
    <row r="19">
      <c r="A19" s="43"/>
      <c r="B19" s="3"/>
    </row>
    <row r="20">
      <c r="A20" s="43"/>
      <c r="B20" s="3"/>
    </row>
  </sheetData>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136.38"/>
  </cols>
  <sheetData>
    <row r="1">
      <c r="A1" s="4" t="s">
        <v>121</v>
      </c>
    </row>
    <row r="2">
      <c r="A2" s="2">
        <f>AVERAGE('Velocity Tracking'!B$2:B$16)</f>
        <v>11.75</v>
      </c>
    </row>
    <row r="3">
      <c r="A3" s="2">
        <f>AVERAGE('Velocity Tracking'!B$2:B$16)</f>
        <v>11.75</v>
      </c>
    </row>
    <row r="4">
      <c r="A4" s="2">
        <f>AVERAGE('Velocity Tracking'!B$2:B$16)</f>
        <v>11.75</v>
      </c>
    </row>
    <row r="5">
      <c r="A5" s="2">
        <f>AVERAGE('Velocity Tracking'!B$2:B$16)</f>
        <v>11.75</v>
      </c>
    </row>
    <row r="6">
      <c r="A6" s="2">
        <f>AVERAGE('Velocity Tracking'!B$2:B$16)</f>
        <v>11.75</v>
      </c>
    </row>
    <row r="7">
      <c r="A7" s="2">
        <f>AVERAGE('Velocity Tracking'!B$2:B$16)</f>
        <v>11.75</v>
      </c>
    </row>
    <row r="8">
      <c r="A8" s="2">
        <f>AVERAGE('Velocity Tracking'!B$2:B$16)</f>
        <v>11.75</v>
      </c>
    </row>
    <row r="9">
      <c r="A9" s="2">
        <f>AVERAGE('Velocity Tracking'!B$2:B$16)</f>
        <v>11.75</v>
      </c>
    </row>
    <row r="10">
      <c r="A10" s="2">
        <f>AVERAGE('Velocity Tracking'!B$2:B$16)</f>
        <v>11.75</v>
      </c>
    </row>
    <row r="11">
      <c r="A11" s="2">
        <f>AVERAGE('Velocity Tracking'!B$2:B$16)</f>
        <v>11.75</v>
      </c>
    </row>
    <row r="12">
      <c r="A12" s="2">
        <f>AVERAGE('Velocity Tracking'!B$2:B$16)</f>
        <v>11.75</v>
      </c>
    </row>
    <row r="13">
      <c r="A13" s="2">
        <f>AVERAGE('Velocity Tracking'!B$2:B$16)</f>
        <v>11.75</v>
      </c>
    </row>
    <row r="14">
      <c r="A14" s="2">
        <f>AVERAGE('Velocity Tracking'!B$2:B$16)</f>
        <v>11.75</v>
      </c>
    </row>
    <row r="15">
      <c r="A15" s="2">
        <f>AVERAGE('Velocity Tracking'!B$2:B$16)</f>
        <v>11.75</v>
      </c>
    </row>
    <row r="16">
      <c r="A16" s="2">
        <f>AVERAGE('Velocity Tracking'!B$2:B$16)</f>
        <v>11.75</v>
      </c>
    </row>
    <row r="17">
      <c r="A17" s="3"/>
    </row>
    <row r="18">
      <c r="A18" s="45"/>
    </row>
    <row r="19">
      <c r="A19" s="3"/>
    </row>
    <row r="20">
      <c r="A20" s="3"/>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69.38"/>
    <col customWidth="1" min="3" max="3" width="62.63"/>
    <col customWidth="1" min="4" max="7" width="15.75"/>
  </cols>
  <sheetData>
    <row r="1">
      <c r="A1" s="46" t="s">
        <v>122</v>
      </c>
      <c r="B1" s="47" t="s">
        <v>123</v>
      </c>
      <c r="C1" s="48" t="s">
        <v>124</v>
      </c>
      <c r="D1" s="49" t="s">
        <v>125</v>
      </c>
      <c r="E1" s="49" t="s">
        <v>126</v>
      </c>
      <c r="F1" s="49" t="s">
        <v>127</v>
      </c>
      <c r="G1" s="49" t="s">
        <v>128</v>
      </c>
    </row>
    <row r="2">
      <c r="A2" s="50"/>
      <c r="B2" s="51"/>
      <c r="C2" s="32"/>
      <c r="D2" s="32"/>
      <c r="E2" s="32"/>
      <c r="F2" s="32"/>
      <c r="G2" s="32"/>
    </row>
    <row r="3">
      <c r="A3" s="52" t="s">
        <v>129</v>
      </c>
      <c r="B3" s="53"/>
      <c r="C3" s="54"/>
      <c r="D3" s="54"/>
      <c r="E3" s="54"/>
      <c r="F3" s="54"/>
      <c r="G3" s="54"/>
    </row>
    <row r="4">
      <c r="A4" s="50"/>
      <c r="B4" s="51"/>
      <c r="C4" s="32"/>
      <c r="D4" s="32"/>
      <c r="E4" s="32"/>
      <c r="F4" s="32"/>
      <c r="G4" s="32"/>
    </row>
    <row r="5">
      <c r="A5" s="55" t="s">
        <v>130</v>
      </c>
      <c r="B5" s="56"/>
      <c r="C5" s="30"/>
      <c r="D5" s="57">
        <f>sum(D8:D16)</f>
        <v>97</v>
      </c>
      <c r="E5" s="57">
        <f>D5</f>
        <v>97</v>
      </c>
      <c r="F5" s="30"/>
      <c r="G5" s="30"/>
    </row>
    <row r="6">
      <c r="A6" s="50"/>
      <c r="B6" s="51"/>
      <c r="C6" s="32"/>
      <c r="D6" s="32"/>
      <c r="E6" s="32"/>
      <c r="F6" s="32"/>
      <c r="G6" s="32"/>
    </row>
    <row r="7">
      <c r="A7" s="58" t="s">
        <v>131</v>
      </c>
      <c r="B7" s="59"/>
      <c r="C7" s="60"/>
      <c r="D7" s="60"/>
      <c r="E7" s="60"/>
      <c r="F7" s="60"/>
      <c r="G7" s="60"/>
    </row>
    <row r="8">
      <c r="A8" s="50"/>
      <c r="B8" s="51"/>
      <c r="C8" s="32"/>
      <c r="D8" s="32"/>
      <c r="E8" s="61" t="s">
        <v>132</v>
      </c>
      <c r="F8" s="32"/>
      <c r="G8" s="61" t="s">
        <v>133</v>
      </c>
    </row>
    <row r="9">
      <c r="A9" s="62">
        <f t="shared" ref="A9:A14" si="1">ROW()-8</f>
        <v>1</v>
      </c>
      <c r="B9" s="63" t="str">
        <f>'Sprint Goals'!B2</f>
        <v>Meeting with industry partner and getting things started (and the T-shirt of course)</v>
      </c>
      <c r="C9" s="30"/>
      <c r="D9" s="57">
        <f>sum(D19)</f>
        <v>0</v>
      </c>
      <c r="E9" s="57">
        <f>$D$5</f>
        <v>97</v>
      </c>
      <c r="F9" s="57">
        <f>sum(F19)</f>
        <v>0</v>
      </c>
      <c r="G9" s="57">
        <f>$D$5</f>
        <v>97</v>
      </c>
    </row>
    <row r="10">
      <c r="A10" s="62">
        <f t="shared" si="1"/>
        <v>2</v>
      </c>
      <c r="B10" s="64" t="str">
        <f>'Sprint Goals'!B3</f>
        <v>Start work on individual components and research unclear topics</v>
      </c>
      <c r="C10" s="32"/>
      <c r="D10" s="65">
        <f>sum(D20:D24)</f>
        <v>16</v>
      </c>
      <c r="E10" s="65">
        <f t="shared" ref="E10:E13" si="2">E9-D9</f>
        <v>97</v>
      </c>
      <c r="F10" s="65">
        <f>sum(F21:F24)</f>
        <v>14</v>
      </c>
      <c r="G10" s="65">
        <f t="shared" ref="G10:G13" si="3">G9-F9</f>
        <v>97</v>
      </c>
    </row>
    <row r="11">
      <c r="A11" s="62">
        <f t="shared" si="1"/>
        <v>3</v>
      </c>
      <c r="B11" s="63" t="str">
        <f>'Sprint Goals'!B4</f>
        <v>Combining components into a first working prototype</v>
      </c>
      <c r="C11" s="30"/>
      <c r="D11" s="57">
        <f>sum(D25:D32)</f>
        <v>21</v>
      </c>
      <c r="E11" s="57">
        <f t="shared" si="2"/>
        <v>81</v>
      </c>
      <c r="F11" s="57">
        <f>sum(F25:F32)</f>
        <v>22</v>
      </c>
      <c r="G11" s="57">
        <f t="shared" si="3"/>
        <v>83</v>
      </c>
    </row>
    <row r="12">
      <c r="A12" s="62">
        <f t="shared" si="1"/>
        <v>4</v>
      </c>
      <c r="B12" s="64" t="str">
        <f>'Sprint Goals'!B5</f>
        <v>Refining prototype and splitting out components</v>
      </c>
      <c r="C12" s="32"/>
      <c r="D12" s="32">
        <f>sum(D33:D36)</f>
        <v>13</v>
      </c>
      <c r="E12" s="65">
        <f t="shared" si="2"/>
        <v>60</v>
      </c>
      <c r="F12" s="32">
        <f>sum(F33:F36)</f>
        <v>11</v>
      </c>
      <c r="G12" s="65">
        <f t="shared" si="3"/>
        <v>61</v>
      </c>
    </row>
    <row r="13">
      <c r="A13" s="62">
        <f t="shared" si="1"/>
        <v>5</v>
      </c>
      <c r="B13" s="63" t="str">
        <f>'Sprint Goals'!B6</f>
        <v>Finishing the Implementation of the Initial Architecture</v>
      </c>
      <c r="C13" s="30"/>
      <c r="D13" s="30">
        <f>Sum(D37:D50)</f>
        <v>47</v>
      </c>
      <c r="E13" s="65">
        <f t="shared" si="2"/>
        <v>47</v>
      </c>
      <c r="F13" s="30">
        <f>sum(F37:F50)</f>
        <v>0</v>
      </c>
      <c r="G13" s="65">
        <f t="shared" si="3"/>
        <v>50</v>
      </c>
    </row>
    <row r="14">
      <c r="A14" s="62">
        <f t="shared" si="1"/>
        <v>6</v>
      </c>
      <c r="B14" s="64" t="str">
        <f>'Sprint Goals'!B7</f>
        <v/>
      </c>
      <c r="C14" s="30"/>
      <c r="D14" s="30"/>
      <c r="E14" s="30"/>
      <c r="F14" s="30"/>
      <c r="G14" s="30"/>
    </row>
    <row r="15">
      <c r="A15" s="62"/>
      <c r="B15" s="55"/>
      <c r="C15" s="30"/>
      <c r="D15" s="30"/>
      <c r="E15" s="30"/>
      <c r="F15" s="30"/>
      <c r="G15" s="30"/>
    </row>
    <row r="16">
      <c r="A16" s="62"/>
      <c r="B16" s="55"/>
      <c r="C16" s="30"/>
      <c r="D16" s="30"/>
      <c r="E16" s="30"/>
      <c r="F16" s="30"/>
      <c r="G16" s="30"/>
    </row>
    <row r="17">
      <c r="A17" s="66" t="s">
        <v>134</v>
      </c>
      <c r="B17" s="67"/>
      <c r="C17" s="68"/>
      <c r="D17" s="68"/>
      <c r="E17" s="68"/>
      <c r="F17" s="68"/>
      <c r="G17" s="68"/>
    </row>
    <row r="18">
      <c r="A18" s="62"/>
      <c r="B18" s="55"/>
      <c r="C18" s="30"/>
      <c r="D18" s="30"/>
      <c r="E18" s="30"/>
      <c r="F18" s="30"/>
      <c r="G18" s="30"/>
    </row>
    <row r="19">
      <c r="A19" s="69">
        <f t="shared" ref="A19:B19" si="4">A9</f>
        <v>1</v>
      </c>
      <c r="B19" s="70" t="str">
        <f t="shared" si="4"/>
        <v>Meeting with industry partner and getting things started (and the T-shirt of course)</v>
      </c>
      <c r="C19" s="32"/>
      <c r="D19" s="32"/>
      <c r="E19" s="32"/>
      <c r="F19" s="32"/>
      <c r="G19" s="32"/>
    </row>
    <row r="20">
      <c r="A20" s="69">
        <f t="shared" ref="A20:B20" si="5">A10</f>
        <v>2</v>
      </c>
      <c r="B20" s="70" t="str">
        <f t="shared" si="5"/>
        <v>Start work on individual components and research unclear topics</v>
      </c>
      <c r="C20" s="32"/>
      <c r="D20" s="32"/>
      <c r="E20" s="32"/>
      <c r="F20" s="32"/>
      <c r="G20" s="32"/>
    </row>
    <row r="21">
      <c r="A21" s="62"/>
      <c r="B21" s="71"/>
      <c r="C21" s="72" t="s">
        <v>135</v>
      </c>
      <c r="D21" s="72">
        <v>5.0</v>
      </c>
      <c r="E21" s="30"/>
      <c r="F21" s="72">
        <v>5.0</v>
      </c>
      <c r="G21" s="30"/>
    </row>
    <row r="22">
      <c r="A22" s="73"/>
      <c r="B22" s="74"/>
      <c r="C22" s="75" t="s">
        <v>136</v>
      </c>
      <c r="D22" s="76">
        <v>5.0</v>
      </c>
      <c r="E22" s="74"/>
      <c r="F22" s="76">
        <v>5.0</v>
      </c>
      <c r="G22" s="74"/>
    </row>
    <row r="23">
      <c r="A23" s="62"/>
      <c r="B23" s="71"/>
      <c r="C23" s="72" t="s">
        <v>137</v>
      </c>
      <c r="D23" s="77">
        <v>3.0</v>
      </c>
      <c r="E23" s="30"/>
      <c r="F23" s="77">
        <v>3.0</v>
      </c>
      <c r="G23" s="30"/>
    </row>
    <row r="24">
      <c r="A24" s="73"/>
      <c r="B24" s="74"/>
      <c r="C24" s="75" t="s">
        <v>138</v>
      </c>
      <c r="D24" s="76">
        <v>3.0</v>
      </c>
      <c r="E24" s="74"/>
      <c r="F24" s="76">
        <v>1.0</v>
      </c>
      <c r="G24" s="74"/>
    </row>
    <row r="25">
      <c r="A25" s="69">
        <f t="shared" ref="A25:B25" si="6">A11</f>
        <v>3</v>
      </c>
      <c r="B25" s="70" t="str">
        <f t="shared" si="6"/>
        <v>Combining components into a first working prototype</v>
      </c>
      <c r="C25" s="32"/>
      <c r="D25" s="32"/>
      <c r="E25" s="32"/>
      <c r="F25" s="32"/>
      <c r="G25" s="32"/>
    </row>
    <row r="26">
      <c r="A26" s="62"/>
      <c r="B26" s="71"/>
      <c r="C26" s="72" t="s">
        <v>139</v>
      </c>
      <c r="D26" s="72">
        <v>2.0</v>
      </c>
      <c r="E26" s="30"/>
      <c r="F26" s="72">
        <v>2.0</v>
      </c>
      <c r="G26" s="30"/>
    </row>
    <row r="27">
      <c r="A27" s="73"/>
      <c r="B27" s="74"/>
      <c r="C27" s="75" t="s">
        <v>140</v>
      </c>
      <c r="D27" s="76">
        <v>2.0</v>
      </c>
      <c r="E27" s="74"/>
      <c r="F27" s="75">
        <v>3.0</v>
      </c>
      <c r="G27" s="74"/>
    </row>
    <row r="28">
      <c r="A28" s="62"/>
      <c r="B28" s="71"/>
      <c r="C28" s="72" t="s">
        <v>141</v>
      </c>
      <c r="D28" s="77">
        <v>2.0</v>
      </c>
      <c r="E28" s="30"/>
      <c r="F28" s="72">
        <v>2.0</v>
      </c>
      <c r="G28" s="30"/>
    </row>
    <row r="29">
      <c r="A29" s="73"/>
      <c r="B29" s="74"/>
      <c r="C29" s="28" t="s">
        <v>142</v>
      </c>
      <c r="D29" s="76">
        <v>3.0</v>
      </c>
      <c r="E29" s="74"/>
      <c r="F29" s="75">
        <v>3.0</v>
      </c>
      <c r="G29" s="74"/>
    </row>
    <row r="30">
      <c r="A30" s="62"/>
      <c r="B30" s="71"/>
      <c r="C30" s="78" t="s">
        <v>143</v>
      </c>
      <c r="D30" s="77">
        <v>2.0</v>
      </c>
      <c r="E30" s="30"/>
      <c r="F30" s="72">
        <v>2.0</v>
      </c>
      <c r="G30" s="30"/>
    </row>
    <row r="31">
      <c r="A31" s="73"/>
      <c r="B31" s="74"/>
      <c r="C31" s="28" t="s">
        <v>144</v>
      </c>
      <c r="D31" s="28">
        <v>5.0</v>
      </c>
      <c r="E31" s="32"/>
      <c r="F31" s="28">
        <v>5.0</v>
      </c>
      <c r="G31" s="32"/>
    </row>
    <row r="32">
      <c r="A32" s="73"/>
      <c r="B32" s="74"/>
      <c r="C32" s="28" t="s">
        <v>145</v>
      </c>
      <c r="D32" s="28">
        <v>5.0</v>
      </c>
      <c r="E32" s="32"/>
      <c r="F32" s="28">
        <v>5.0</v>
      </c>
      <c r="G32" s="32"/>
    </row>
    <row r="33">
      <c r="A33" s="79">
        <f t="shared" ref="A33:B33" si="7">A12</f>
        <v>4</v>
      </c>
      <c r="B33" s="70" t="str">
        <f t="shared" si="7"/>
        <v>Refining prototype and splitting out components</v>
      </c>
      <c r="C33" s="32"/>
      <c r="D33" s="32"/>
      <c r="E33" s="32"/>
      <c r="F33" s="32"/>
      <c r="G33" s="32"/>
    </row>
    <row r="34">
      <c r="A34" s="73"/>
      <c r="B34" s="74"/>
      <c r="C34" s="28" t="s">
        <v>146</v>
      </c>
      <c r="D34" s="28">
        <v>5.0</v>
      </c>
      <c r="E34" s="32"/>
      <c r="F34" s="28">
        <v>3.0</v>
      </c>
      <c r="G34" s="32"/>
    </row>
    <row r="35">
      <c r="A35" s="73"/>
      <c r="B35" s="74"/>
      <c r="C35" s="28" t="s">
        <v>147</v>
      </c>
      <c r="D35" s="28">
        <v>3.0</v>
      </c>
      <c r="E35" s="32"/>
      <c r="F35" s="28">
        <v>3.0</v>
      </c>
      <c r="G35" s="32"/>
    </row>
    <row r="36">
      <c r="A36" s="73"/>
      <c r="B36" s="74"/>
      <c r="C36" s="28" t="s">
        <v>148</v>
      </c>
      <c r="D36" s="28">
        <v>5.0</v>
      </c>
      <c r="E36" s="32"/>
      <c r="F36" s="28">
        <v>5.0</v>
      </c>
      <c r="G36" s="32"/>
    </row>
    <row r="37">
      <c r="A37" s="73">
        <f t="shared" ref="A37:B37" si="8">A13</f>
        <v>5</v>
      </c>
      <c r="B37" s="70" t="str">
        <f t="shared" si="8"/>
        <v>Finishing the Implementation of the Initial Architecture</v>
      </c>
      <c r="C37" s="32"/>
      <c r="D37" s="32"/>
      <c r="E37" s="32"/>
      <c r="F37" s="32"/>
      <c r="G37" s="32"/>
    </row>
    <row r="38">
      <c r="A38" s="73"/>
      <c r="B38" s="74"/>
      <c r="C38" s="28" t="s">
        <v>149</v>
      </c>
      <c r="D38" s="28">
        <v>3.0</v>
      </c>
      <c r="E38" s="32"/>
      <c r="F38" s="32"/>
      <c r="G38" s="32"/>
    </row>
    <row r="39">
      <c r="A39" s="73"/>
      <c r="B39" s="74"/>
      <c r="C39" s="28" t="s">
        <v>150</v>
      </c>
      <c r="D39" s="28">
        <v>3.0</v>
      </c>
      <c r="E39" s="32"/>
      <c r="F39" s="32"/>
      <c r="G39" s="32"/>
    </row>
    <row r="40">
      <c r="A40" s="73"/>
      <c r="B40" s="74"/>
      <c r="C40" s="28" t="s">
        <v>151</v>
      </c>
      <c r="D40" s="28">
        <v>5.0</v>
      </c>
      <c r="E40" s="32"/>
      <c r="F40" s="32"/>
      <c r="G40" s="32"/>
    </row>
    <row r="41">
      <c r="A41" s="73"/>
      <c r="B41" s="74"/>
      <c r="C41" s="28" t="s">
        <v>152</v>
      </c>
      <c r="D41" s="28">
        <v>3.0</v>
      </c>
      <c r="E41" s="32"/>
      <c r="F41" s="32"/>
      <c r="G41" s="32"/>
    </row>
    <row r="42">
      <c r="A42" s="73"/>
      <c r="B42" s="74"/>
      <c r="C42" s="28" t="s">
        <v>153</v>
      </c>
      <c r="D42" s="28">
        <v>5.0</v>
      </c>
      <c r="E42" s="32"/>
      <c r="F42" s="32"/>
      <c r="G42" s="32"/>
    </row>
    <row r="43">
      <c r="A43" s="73"/>
      <c r="B43" s="74"/>
      <c r="C43" s="28" t="s">
        <v>154</v>
      </c>
      <c r="D43" s="28">
        <v>3.0</v>
      </c>
      <c r="E43" s="32"/>
      <c r="F43" s="32"/>
      <c r="G43" s="32"/>
    </row>
    <row r="44">
      <c r="A44" s="73"/>
      <c r="B44" s="74"/>
      <c r="C44" s="28" t="s">
        <v>155</v>
      </c>
      <c r="D44" s="28">
        <v>3.0</v>
      </c>
      <c r="E44" s="32"/>
      <c r="F44" s="32"/>
      <c r="G44" s="32"/>
    </row>
    <row r="45">
      <c r="A45" s="73"/>
      <c r="B45" s="74"/>
      <c r="C45" s="28" t="s">
        <v>156</v>
      </c>
      <c r="D45" s="28">
        <v>1.0</v>
      </c>
      <c r="E45" s="32"/>
      <c r="F45" s="32"/>
      <c r="G45" s="32"/>
    </row>
    <row r="46">
      <c r="A46" s="73"/>
      <c r="B46" s="74"/>
      <c r="C46" s="28" t="s">
        <v>157</v>
      </c>
      <c r="D46" s="28">
        <v>3.0</v>
      </c>
      <c r="E46" s="32"/>
      <c r="F46" s="32"/>
      <c r="G46" s="32"/>
    </row>
    <row r="47">
      <c r="A47" s="73"/>
      <c r="B47" s="74"/>
      <c r="C47" s="28" t="s">
        <v>158</v>
      </c>
      <c r="D47" s="28">
        <v>2.0</v>
      </c>
      <c r="E47" s="32"/>
      <c r="F47" s="32"/>
      <c r="G47" s="32"/>
    </row>
    <row r="48">
      <c r="A48" s="73"/>
      <c r="B48" s="74"/>
      <c r="C48" s="28" t="s">
        <v>159</v>
      </c>
      <c r="D48" s="28">
        <v>5.0</v>
      </c>
      <c r="E48" s="32"/>
      <c r="F48" s="32"/>
      <c r="G48" s="32"/>
    </row>
    <row r="49">
      <c r="A49" s="73"/>
      <c r="B49" s="74"/>
      <c r="C49" s="28" t="s">
        <v>160</v>
      </c>
      <c r="D49" s="28">
        <v>8.0</v>
      </c>
      <c r="E49" s="32"/>
      <c r="F49" s="32"/>
      <c r="G49" s="32"/>
    </row>
    <row r="50">
      <c r="A50" s="73"/>
      <c r="B50" s="74"/>
      <c r="C50" s="28" t="s">
        <v>161</v>
      </c>
      <c r="D50" s="28">
        <v>3.0</v>
      </c>
      <c r="E50" s="32"/>
      <c r="F50" s="32"/>
      <c r="G50" s="32"/>
    </row>
    <row r="51">
      <c r="A51" s="73"/>
      <c r="B51" s="74"/>
      <c r="C51" s="32"/>
      <c r="D51" s="32"/>
      <c r="E51" s="32"/>
      <c r="F51" s="32"/>
      <c r="G51" s="32"/>
    </row>
    <row r="52">
      <c r="A52" s="73"/>
      <c r="B52" s="74"/>
      <c r="C52" s="32"/>
      <c r="D52" s="32"/>
      <c r="E52" s="32"/>
      <c r="F52" s="32"/>
      <c r="G52" s="32"/>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2.75"/>
  <cols>
    <col customWidth="1" min="1" max="1" width="124.88"/>
  </cols>
  <sheetData>
    <row r="1">
      <c r="A1" s="73"/>
    </row>
    <row r="2">
      <c r="A2" s="73"/>
    </row>
    <row r="3">
      <c r="A3" s="73"/>
    </row>
    <row r="4">
      <c r="A4" s="73"/>
    </row>
    <row r="5">
      <c r="A5" s="73"/>
    </row>
    <row r="6">
      <c r="A6" s="73"/>
    </row>
    <row r="7">
      <c r="A7" s="73"/>
    </row>
    <row r="8">
      <c r="A8" s="73"/>
    </row>
    <row r="9">
      <c r="A9" s="73"/>
    </row>
    <row r="10">
      <c r="A10" s="73"/>
    </row>
    <row r="11">
      <c r="A11" s="73"/>
    </row>
    <row r="12">
      <c r="A12" s="73"/>
    </row>
    <row r="13">
      <c r="A13" s="73"/>
    </row>
    <row r="14">
      <c r="A14" s="73"/>
    </row>
    <row r="15">
      <c r="A15" s="73"/>
    </row>
    <row r="16">
      <c r="A16" s="73"/>
    </row>
    <row r="17">
      <c r="A17" s="73"/>
    </row>
    <row r="18">
      <c r="A18" s="73"/>
    </row>
    <row r="19">
      <c r="A19" s="73"/>
    </row>
    <row r="20">
      <c r="A20" s="73"/>
    </row>
    <row r="21">
      <c r="A21" s="73"/>
    </row>
    <row r="22">
      <c r="A22" s="73"/>
    </row>
    <row r="23">
      <c r="A23" s="73"/>
    </row>
    <row r="24">
      <c r="A24" s="73"/>
    </row>
    <row r="25">
      <c r="A25" s="73"/>
    </row>
    <row r="26">
      <c r="A26" s="73"/>
    </row>
    <row r="27">
      <c r="A27" s="73"/>
    </row>
    <row r="28">
      <c r="A28" s="73"/>
    </row>
    <row r="29">
      <c r="A29" s="73"/>
    </row>
    <row r="30">
      <c r="A30" s="73"/>
    </row>
    <row r="31">
      <c r="A31" s="73"/>
    </row>
    <row r="32">
      <c r="A32" s="73"/>
    </row>
    <row r="33">
      <c r="A33" s="73"/>
    </row>
    <row r="34">
      <c r="A34" s="73"/>
    </row>
    <row r="35">
      <c r="A35" s="73"/>
    </row>
    <row r="36">
      <c r="A36" s="73"/>
    </row>
  </sheetData>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6.38"/>
    <col customWidth="1" min="3" max="3" width="62.63"/>
    <col customWidth="1" min="4" max="7" width="15.75"/>
  </cols>
  <sheetData>
    <row r="1">
      <c r="A1" s="46" t="s">
        <v>122</v>
      </c>
      <c r="B1" s="80" t="s">
        <v>123</v>
      </c>
      <c r="C1" s="48" t="s">
        <v>124</v>
      </c>
      <c r="D1" s="49" t="s">
        <v>125</v>
      </c>
      <c r="E1" s="49" t="s">
        <v>126</v>
      </c>
      <c r="F1" s="49" t="s">
        <v>127</v>
      </c>
      <c r="G1" s="49" t="s">
        <v>128</v>
      </c>
    </row>
    <row r="2">
      <c r="A2" s="50"/>
      <c r="B2" s="32"/>
      <c r="C2" s="32"/>
      <c r="D2" s="32"/>
      <c r="E2" s="32"/>
      <c r="F2" s="32"/>
      <c r="G2" s="32"/>
    </row>
    <row r="3">
      <c r="A3" s="52" t="s">
        <v>129</v>
      </c>
      <c r="B3" s="54"/>
      <c r="C3" s="54"/>
      <c r="D3" s="54"/>
      <c r="E3" s="54"/>
      <c r="F3" s="54"/>
      <c r="G3" s="54"/>
    </row>
    <row r="4">
      <c r="A4" s="50"/>
      <c r="B4" s="32"/>
      <c r="C4" s="32"/>
      <c r="D4" s="32"/>
      <c r="E4" s="32"/>
      <c r="F4" s="32"/>
      <c r="G4" s="32"/>
    </row>
    <row r="5">
      <c r="A5" s="55" t="s">
        <v>130</v>
      </c>
      <c r="B5" s="30"/>
      <c r="C5" s="30"/>
      <c r="D5" s="57">
        <f>sum(D8:D13)</f>
        <v>0</v>
      </c>
      <c r="E5" s="57">
        <f>D5</f>
        <v>0</v>
      </c>
      <c r="F5" s="30"/>
      <c r="G5" s="30"/>
    </row>
    <row r="6">
      <c r="A6" s="50"/>
      <c r="B6" s="32"/>
      <c r="C6" s="32"/>
      <c r="D6" s="32"/>
      <c r="E6" s="32"/>
      <c r="F6" s="32"/>
      <c r="G6" s="32"/>
    </row>
    <row r="7">
      <c r="A7" s="58" t="s">
        <v>131</v>
      </c>
      <c r="B7" s="81"/>
      <c r="C7" s="60"/>
      <c r="D7" s="60"/>
      <c r="E7" s="60"/>
      <c r="F7" s="60"/>
      <c r="G7" s="60"/>
    </row>
    <row r="8">
      <c r="A8" s="50"/>
      <c r="B8" s="32"/>
      <c r="C8" s="32"/>
      <c r="D8" s="32"/>
      <c r="E8" s="61" t="s">
        <v>132</v>
      </c>
      <c r="F8" s="32"/>
      <c r="G8" s="61" t="s">
        <v>133</v>
      </c>
    </row>
    <row r="9">
      <c r="A9" s="62">
        <v>1.0</v>
      </c>
      <c r="B9" s="30"/>
      <c r="C9" s="30"/>
      <c r="D9" s="57">
        <f>sum(D16:D21)</f>
        <v>0</v>
      </c>
      <c r="E9" s="57">
        <f>$D$5</f>
        <v>0</v>
      </c>
      <c r="F9" s="57">
        <f>sum(F16:F21)</f>
        <v>0</v>
      </c>
      <c r="G9" s="57">
        <f>$D$5</f>
        <v>0</v>
      </c>
    </row>
    <row r="10">
      <c r="A10" s="50">
        <f t="shared" ref="A10:A11" si="1">A9+1</f>
        <v>2</v>
      </c>
      <c r="B10" s="32"/>
      <c r="C10" s="32"/>
      <c r="D10" s="65">
        <f>sum(D22:D27)</f>
        <v>0</v>
      </c>
      <c r="E10" s="65">
        <f t="shared" ref="E10:E12" si="2">E9-D9</f>
        <v>0</v>
      </c>
      <c r="F10" s="65">
        <f>sum(F22:F27)</f>
        <v>0</v>
      </c>
      <c r="G10" s="65">
        <f t="shared" ref="G10:G12" si="3">G9-F9</f>
        <v>0</v>
      </c>
    </row>
    <row r="11">
      <c r="A11" s="62">
        <f t="shared" si="1"/>
        <v>3</v>
      </c>
      <c r="B11" s="30"/>
      <c r="C11" s="30"/>
      <c r="D11" s="57">
        <f>sum(D28:D33)</f>
        <v>0</v>
      </c>
      <c r="E11" s="57">
        <f t="shared" si="2"/>
        <v>0</v>
      </c>
      <c r="F11" s="57">
        <f>sum(F28:F33)</f>
        <v>0</v>
      </c>
      <c r="G11" s="57">
        <f t="shared" si="3"/>
        <v>0</v>
      </c>
    </row>
    <row r="12">
      <c r="A12" s="79" t="s">
        <v>162</v>
      </c>
      <c r="B12" s="32"/>
      <c r="C12" s="32"/>
      <c r="D12" s="32"/>
      <c r="E12" s="65">
        <f t="shared" si="2"/>
        <v>0</v>
      </c>
      <c r="F12" s="32"/>
      <c r="G12" s="65">
        <f t="shared" si="3"/>
        <v>0</v>
      </c>
    </row>
    <row r="13">
      <c r="A13" s="62"/>
      <c r="B13" s="30"/>
      <c r="C13" s="30"/>
      <c r="D13" s="30"/>
      <c r="E13" s="30"/>
      <c r="F13" s="30"/>
      <c r="G13" s="30"/>
    </row>
    <row r="14">
      <c r="A14" s="66" t="s">
        <v>134</v>
      </c>
      <c r="B14" s="67"/>
      <c r="C14" s="68"/>
      <c r="D14" s="68"/>
      <c r="E14" s="68"/>
      <c r="F14" s="68"/>
      <c r="G14" s="68"/>
    </row>
    <row r="15">
      <c r="A15" s="62"/>
      <c r="B15" s="30"/>
      <c r="C15" s="30"/>
      <c r="D15" s="30"/>
      <c r="E15" s="30"/>
      <c r="F15" s="30"/>
      <c r="G15" s="30"/>
    </row>
    <row r="16">
      <c r="A16" s="69">
        <f>A9</f>
        <v>1</v>
      </c>
      <c r="B16" s="32"/>
      <c r="C16" s="32"/>
      <c r="D16" s="32"/>
      <c r="E16" s="32"/>
      <c r="F16" s="32"/>
      <c r="G16" s="32"/>
    </row>
    <row r="17">
      <c r="A17" s="62"/>
      <c r="B17" s="71"/>
      <c r="C17" s="30"/>
      <c r="D17" s="30"/>
      <c r="E17" s="30"/>
      <c r="F17" s="30"/>
      <c r="G17" s="30"/>
    </row>
    <row r="18">
      <c r="A18" s="50"/>
      <c r="B18" s="82"/>
      <c r="C18" s="74"/>
      <c r="D18" s="83"/>
      <c r="E18" s="51"/>
      <c r="F18" s="83"/>
      <c r="G18" s="51"/>
    </row>
    <row r="19">
      <c r="A19" s="62"/>
      <c r="B19" s="30"/>
      <c r="C19" s="30"/>
      <c r="D19" s="57"/>
      <c r="E19" s="30"/>
      <c r="F19" s="57"/>
      <c r="G19" s="30"/>
    </row>
    <row r="20">
      <c r="A20" s="73"/>
      <c r="B20" s="32"/>
      <c r="C20" s="74"/>
      <c r="D20" s="65"/>
      <c r="E20" s="74"/>
      <c r="F20" s="65"/>
      <c r="G20" s="74"/>
    </row>
    <row r="21">
      <c r="A21" s="62"/>
      <c r="B21" s="30"/>
      <c r="C21" s="30"/>
      <c r="D21" s="57"/>
      <c r="E21" s="30"/>
      <c r="F21" s="57"/>
      <c r="G21" s="30"/>
    </row>
    <row r="22">
      <c r="A22" s="69">
        <f>A10</f>
        <v>2</v>
      </c>
      <c r="B22" s="32"/>
      <c r="C22" s="32"/>
      <c r="D22" s="32"/>
      <c r="E22" s="32"/>
      <c r="F22" s="32"/>
      <c r="G22" s="32"/>
    </row>
    <row r="23">
      <c r="A23" s="62"/>
      <c r="B23" s="71"/>
      <c r="C23" s="30"/>
      <c r="D23" s="30"/>
      <c r="E23" s="30"/>
      <c r="F23" s="30"/>
      <c r="G23" s="30"/>
    </row>
    <row r="24">
      <c r="A24" s="73"/>
      <c r="B24" s="32"/>
      <c r="C24" s="74"/>
      <c r="D24" s="65"/>
      <c r="E24" s="74"/>
      <c r="F24" s="65"/>
      <c r="G24" s="74"/>
    </row>
    <row r="25">
      <c r="A25" s="62"/>
      <c r="B25" s="30"/>
      <c r="C25" s="30"/>
      <c r="D25" s="57"/>
      <c r="E25" s="30"/>
      <c r="F25" s="57"/>
      <c r="G25" s="30"/>
    </row>
    <row r="26">
      <c r="A26" s="73"/>
      <c r="B26" s="32"/>
      <c r="C26" s="74"/>
      <c r="D26" s="65"/>
      <c r="E26" s="74"/>
      <c r="F26" s="65"/>
      <c r="G26" s="74"/>
    </row>
    <row r="27">
      <c r="A27" s="62"/>
      <c r="B27" s="30"/>
      <c r="C27" s="30"/>
      <c r="D27" s="57"/>
      <c r="E27" s="30"/>
      <c r="F27" s="57"/>
      <c r="G27" s="30"/>
    </row>
    <row r="28">
      <c r="A28" s="69">
        <f>A11</f>
        <v>3</v>
      </c>
      <c r="B28" s="32"/>
      <c r="C28" s="32"/>
      <c r="D28" s="32"/>
      <c r="E28" s="32"/>
      <c r="F28" s="32"/>
      <c r="G28" s="32"/>
    </row>
    <row r="29">
      <c r="A29" s="62"/>
      <c r="B29" s="71"/>
      <c r="C29" s="30"/>
      <c r="D29" s="30"/>
      <c r="E29" s="30"/>
      <c r="F29" s="30"/>
      <c r="G29" s="30"/>
    </row>
    <row r="30">
      <c r="A30" s="73"/>
      <c r="B30" s="32"/>
      <c r="C30" s="74"/>
      <c r="D30" s="65"/>
      <c r="E30" s="74"/>
      <c r="F30" s="74"/>
      <c r="G30" s="74"/>
    </row>
    <row r="31">
      <c r="A31" s="62"/>
      <c r="B31" s="30"/>
      <c r="C31" s="30"/>
      <c r="D31" s="57"/>
      <c r="E31" s="30"/>
      <c r="F31" s="30"/>
      <c r="G31" s="30"/>
    </row>
    <row r="32">
      <c r="A32" s="73"/>
      <c r="B32" s="32"/>
      <c r="C32" s="32"/>
      <c r="D32" s="65"/>
      <c r="E32" s="74"/>
      <c r="F32" s="74"/>
      <c r="G32" s="74"/>
    </row>
    <row r="33">
      <c r="A33" s="62"/>
      <c r="B33" s="30"/>
      <c r="C33" s="84" t="s">
        <v>163</v>
      </c>
      <c r="D33" s="57"/>
      <c r="E33" s="30"/>
      <c r="F33" s="30"/>
      <c r="G33" s="30"/>
    </row>
    <row r="34">
      <c r="A34" s="73"/>
      <c r="B34" s="32"/>
      <c r="C34" s="32"/>
      <c r="D34" s="32"/>
      <c r="E34" s="32"/>
      <c r="F34" s="32"/>
      <c r="G34" s="32"/>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5.13"/>
    <col customWidth="1" min="2" max="4" width="40.13"/>
  </cols>
  <sheetData>
    <row r="1">
      <c r="A1" s="85" t="s">
        <v>65</v>
      </c>
      <c r="B1" s="47" t="s">
        <v>164</v>
      </c>
      <c r="C1" s="47" t="s">
        <v>165</v>
      </c>
      <c r="D1" s="86" t="s">
        <v>166</v>
      </c>
    </row>
    <row r="2">
      <c r="A2" s="3"/>
      <c r="B2" s="2" t="s">
        <v>167</v>
      </c>
      <c r="C2" s="2" t="s">
        <v>168</v>
      </c>
      <c r="D2" s="2" t="s">
        <v>169</v>
      </c>
    </row>
    <row r="3">
      <c r="A3" s="3"/>
      <c r="B3" s="2" t="s">
        <v>170</v>
      </c>
      <c r="C3" s="2" t="s">
        <v>171</v>
      </c>
      <c r="D3" s="2" t="s">
        <v>172</v>
      </c>
    </row>
    <row r="4">
      <c r="A4" s="3"/>
      <c r="B4" s="2" t="s">
        <v>173</v>
      </c>
      <c r="C4" s="2" t="s">
        <v>174</v>
      </c>
      <c r="D4" s="2" t="s">
        <v>175</v>
      </c>
    </row>
    <row r="5">
      <c r="A5" s="3"/>
      <c r="B5" s="2" t="s">
        <v>176</v>
      </c>
      <c r="C5" s="3"/>
      <c r="D5" s="3"/>
    </row>
    <row r="6">
      <c r="A6" s="3"/>
      <c r="B6" s="2" t="s">
        <v>177</v>
      </c>
      <c r="C6" s="3"/>
      <c r="D6" s="3"/>
    </row>
    <row r="7">
      <c r="A7" s="3"/>
      <c r="B7" s="2" t="s">
        <v>178</v>
      </c>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sheetData>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25.13"/>
    <col customWidth="1" min="2" max="2" width="100.13"/>
  </cols>
  <sheetData>
    <row r="1">
      <c r="A1" s="4" t="s">
        <v>179</v>
      </c>
      <c r="B1" s="4" t="s">
        <v>180</v>
      </c>
    </row>
    <row r="2">
      <c r="A2" s="3"/>
      <c r="B2" s="3"/>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sheetData>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1" width="6.38"/>
    <col customWidth="1" min="2" max="2" width="25.13"/>
    <col customWidth="1" min="3" max="3" width="37.63"/>
    <col customWidth="1" min="4" max="4" width="9.5"/>
    <col customWidth="1" min="5" max="5" width="12.63"/>
    <col customWidth="1" min="6" max="8" width="37.63"/>
  </cols>
  <sheetData>
    <row r="1">
      <c r="A1" s="87" t="s">
        <v>65</v>
      </c>
      <c r="B1" s="87" t="s">
        <v>181</v>
      </c>
      <c r="C1" s="87" t="s">
        <v>182</v>
      </c>
      <c r="D1" s="87" t="s">
        <v>183</v>
      </c>
      <c r="E1" s="87" t="s">
        <v>184</v>
      </c>
      <c r="F1" s="87" t="s">
        <v>72</v>
      </c>
      <c r="G1" s="87" t="s">
        <v>185</v>
      </c>
      <c r="H1" s="87" t="s">
        <v>186</v>
      </c>
    </row>
    <row r="2">
      <c r="A2" s="88">
        <v>1.0</v>
      </c>
      <c r="B2" s="88" t="s">
        <v>187</v>
      </c>
      <c r="C2" s="88" t="s">
        <v>188</v>
      </c>
      <c r="D2" s="88" t="s">
        <v>189</v>
      </c>
      <c r="E2" s="88" t="s">
        <v>190</v>
      </c>
      <c r="F2" s="88" t="s">
        <v>191</v>
      </c>
      <c r="G2" s="88" t="s">
        <v>192</v>
      </c>
      <c r="H2" s="89"/>
    </row>
    <row r="3">
      <c r="A3" s="88">
        <v>2.0</v>
      </c>
      <c r="B3" s="88" t="s">
        <v>187</v>
      </c>
      <c r="C3" s="88" t="s">
        <v>193</v>
      </c>
      <c r="D3" s="88" t="s">
        <v>189</v>
      </c>
      <c r="E3" s="88" t="s">
        <v>190</v>
      </c>
      <c r="F3" s="88" t="s">
        <v>194</v>
      </c>
      <c r="G3" s="88" t="s">
        <v>192</v>
      </c>
      <c r="H3" s="89"/>
    </row>
    <row r="4">
      <c r="A4" s="88">
        <v>3.0</v>
      </c>
      <c r="B4" s="88" t="s">
        <v>187</v>
      </c>
      <c r="C4" s="88" t="s">
        <v>195</v>
      </c>
      <c r="D4" s="88" t="s">
        <v>196</v>
      </c>
      <c r="E4" s="88" t="s">
        <v>197</v>
      </c>
      <c r="F4" s="88" t="s">
        <v>198</v>
      </c>
      <c r="G4" s="88" t="s">
        <v>192</v>
      </c>
      <c r="H4" s="88" t="s">
        <v>199</v>
      </c>
    </row>
    <row r="5">
      <c r="A5" s="88">
        <v>4.0</v>
      </c>
      <c r="B5" s="88" t="s">
        <v>187</v>
      </c>
      <c r="C5" s="88" t="s">
        <v>200</v>
      </c>
      <c r="D5" s="88" t="s">
        <v>201</v>
      </c>
      <c r="E5" s="88" t="s">
        <v>190</v>
      </c>
      <c r="F5" s="88" t="s">
        <v>202</v>
      </c>
      <c r="G5" s="88" t="s">
        <v>192</v>
      </c>
      <c r="H5" s="88" t="s">
        <v>203</v>
      </c>
    </row>
    <row r="6">
      <c r="A6" s="90">
        <v>5.0</v>
      </c>
      <c r="B6" s="90" t="s">
        <v>187</v>
      </c>
      <c r="C6" s="90" t="s">
        <v>204</v>
      </c>
      <c r="D6" s="90" t="s">
        <v>205</v>
      </c>
      <c r="E6" s="90" t="s">
        <v>190</v>
      </c>
      <c r="F6" s="90" t="s">
        <v>206</v>
      </c>
      <c r="G6" s="90" t="s">
        <v>207</v>
      </c>
      <c r="H6" s="91"/>
    </row>
    <row r="7">
      <c r="A7" s="90">
        <v>6.0</v>
      </c>
      <c r="B7" s="90" t="s">
        <v>187</v>
      </c>
      <c r="C7" s="90" t="s">
        <v>208</v>
      </c>
      <c r="D7" s="90" t="s">
        <v>209</v>
      </c>
      <c r="E7" s="90" t="s">
        <v>210</v>
      </c>
      <c r="F7" s="90" t="s">
        <v>211</v>
      </c>
      <c r="G7" s="90" t="s">
        <v>207</v>
      </c>
      <c r="H7" s="91"/>
    </row>
    <row r="8">
      <c r="A8" s="90">
        <v>7.0</v>
      </c>
      <c r="B8" s="90" t="s">
        <v>187</v>
      </c>
      <c r="C8" s="90" t="s">
        <v>212</v>
      </c>
      <c r="D8" s="90" t="s">
        <v>213</v>
      </c>
      <c r="E8" s="90" t="s">
        <v>190</v>
      </c>
      <c r="F8" s="90" t="s">
        <v>214</v>
      </c>
      <c r="G8" s="90" t="s">
        <v>207</v>
      </c>
      <c r="H8" s="91"/>
    </row>
    <row r="9">
      <c r="A9" s="90">
        <v>8.0</v>
      </c>
      <c r="B9" s="90" t="s">
        <v>187</v>
      </c>
      <c r="C9" s="90" t="s">
        <v>215</v>
      </c>
      <c r="D9" s="90" t="s">
        <v>216</v>
      </c>
      <c r="E9" s="90" t="s">
        <v>190</v>
      </c>
      <c r="F9" s="90" t="s">
        <v>217</v>
      </c>
      <c r="G9" s="90" t="s">
        <v>207</v>
      </c>
      <c r="H9" s="91"/>
    </row>
    <row r="10">
      <c r="A10" s="90">
        <v>9.0</v>
      </c>
      <c r="B10" s="90" t="s">
        <v>187</v>
      </c>
      <c r="C10" s="90" t="s">
        <v>218</v>
      </c>
      <c r="D10" s="90" t="s">
        <v>219</v>
      </c>
      <c r="E10" s="90" t="s">
        <v>190</v>
      </c>
      <c r="F10" s="90" t="s">
        <v>220</v>
      </c>
      <c r="G10" s="90" t="s">
        <v>221</v>
      </c>
      <c r="H10" s="92"/>
    </row>
    <row r="11">
      <c r="A11" s="88">
        <v>10.0</v>
      </c>
      <c r="B11" s="88" t="s">
        <v>187</v>
      </c>
      <c r="C11" s="88" t="s">
        <v>222</v>
      </c>
      <c r="D11" s="88" t="s">
        <v>223</v>
      </c>
      <c r="E11" s="88" t="s">
        <v>190</v>
      </c>
      <c r="F11" s="88" t="s">
        <v>224</v>
      </c>
      <c r="G11" s="88" t="s">
        <v>192</v>
      </c>
      <c r="H11" s="88" t="s">
        <v>225</v>
      </c>
    </row>
    <row r="12">
      <c r="A12" s="88">
        <v>11.0</v>
      </c>
      <c r="B12" s="88" t="s">
        <v>187</v>
      </c>
      <c r="C12" s="88" t="s">
        <v>226</v>
      </c>
      <c r="D12" s="88" t="s">
        <v>189</v>
      </c>
      <c r="E12" s="88" t="s">
        <v>190</v>
      </c>
      <c r="F12" s="88" t="s">
        <v>227</v>
      </c>
      <c r="G12" s="88" t="s">
        <v>192</v>
      </c>
      <c r="H12" s="88" t="s">
        <v>225</v>
      </c>
    </row>
    <row r="13">
      <c r="A13" s="88">
        <v>12.0</v>
      </c>
      <c r="B13" s="88" t="s">
        <v>187</v>
      </c>
      <c r="C13" s="88" t="s">
        <v>228</v>
      </c>
      <c r="D13" s="88" t="s">
        <v>229</v>
      </c>
      <c r="E13" s="88" t="s">
        <v>190</v>
      </c>
      <c r="F13" s="88" t="s">
        <v>230</v>
      </c>
      <c r="G13" s="88" t="s">
        <v>192</v>
      </c>
      <c r="H13" s="88" t="s">
        <v>225</v>
      </c>
    </row>
    <row r="14">
      <c r="A14" s="88">
        <v>13.0</v>
      </c>
      <c r="B14" s="88" t="s">
        <v>187</v>
      </c>
      <c r="C14" s="88" t="s">
        <v>231</v>
      </c>
      <c r="D14" s="88" t="s">
        <v>232</v>
      </c>
      <c r="E14" s="88" t="s">
        <v>190</v>
      </c>
      <c r="F14" s="88" t="s">
        <v>233</v>
      </c>
      <c r="G14" s="88" t="s">
        <v>192</v>
      </c>
      <c r="H14" s="88" t="s">
        <v>225</v>
      </c>
    </row>
    <row r="15">
      <c r="A15" s="88">
        <v>14.0</v>
      </c>
      <c r="B15" s="88" t="s">
        <v>187</v>
      </c>
      <c r="C15" s="88" t="s">
        <v>234</v>
      </c>
      <c r="D15" s="88" t="s">
        <v>235</v>
      </c>
      <c r="E15" s="88" t="s">
        <v>190</v>
      </c>
      <c r="F15" s="88" t="s">
        <v>236</v>
      </c>
      <c r="G15" s="88" t="s">
        <v>192</v>
      </c>
      <c r="H15" s="88" t="s">
        <v>225</v>
      </c>
    </row>
    <row r="16">
      <c r="A16" s="88">
        <v>15.0</v>
      </c>
      <c r="B16" s="88" t="s">
        <v>187</v>
      </c>
      <c r="C16" s="88" t="s">
        <v>237</v>
      </c>
      <c r="D16" s="88" t="s">
        <v>238</v>
      </c>
      <c r="E16" s="88" t="s">
        <v>190</v>
      </c>
      <c r="F16" s="88" t="s">
        <v>239</v>
      </c>
      <c r="G16" s="88" t="s">
        <v>192</v>
      </c>
      <c r="H16" s="88" t="s">
        <v>225</v>
      </c>
    </row>
    <row r="17">
      <c r="A17" s="88">
        <v>16.0</v>
      </c>
      <c r="B17" s="88" t="s">
        <v>187</v>
      </c>
      <c r="C17" s="88" t="s">
        <v>240</v>
      </c>
      <c r="D17" s="88" t="s">
        <v>241</v>
      </c>
      <c r="E17" s="88" t="s">
        <v>190</v>
      </c>
      <c r="F17" s="88" t="s">
        <v>242</v>
      </c>
      <c r="G17" s="88" t="s">
        <v>192</v>
      </c>
      <c r="H17" s="88" t="s">
        <v>225</v>
      </c>
    </row>
    <row r="18">
      <c r="A18" s="88">
        <v>17.0</v>
      </c>
      <c r="B18" s="88" t="s">
        <v>187</v>
      </c>
      <c r="C18" s="88" t="s">
        <v>243</v>
      </c>
      <c r="D18" s="88" t="s">
        <v>241</v>
      </c>
      <c r="E18" s="88" t="s">
        <v>190</v>
      </c>
      <c r="F18" s="88" t="s">
        <v>244</v>
      </c>
      <c r="G18" s="88" t="s">
        <v>192</v>
      </c>
      <c r="H18" s="88" t="s">
        <v>225</v>
      </c>
    </row>
    <row r="19">
      <c r="A19" s="88">
        <v>18.0</v>
      </c>
      <c r="B19" s="88" t="s">
        <v>245</v>
      </c>
      <c r="C19" s="88" t="s">
        <v>246</v>
      </c>
      <c r="D19" s="88" t="s">
        <v>247</v>
      </c>
      <c r="E19" s="88" t="s">
        <v>210</v>
      </c>
      <c r="F19" s="88" t="s">
        <v>248</v>
      </c>
      <c r="G19" s="88" t="s">
        <v>192</v>
      </c>
      <c r="H19" s="88" t="s">
        <v>249</v>
      </c>
    </row>
    <row r="20">
      <c r="A20" s="88">
        <v>19.0</v>
      </c>
      <c r="B20" s="88" t="s">
        <v>245</v>
      </c>
      <c r="C20" s="88" t="s">
        <v>250</v>
      </c>
      <c r="D20" s="88" t="s">
        <v>251</v>
      </c>
      <c r="E20" s="88" t="s">
        <v>190</v>
      </c>
      <c r="F20" s="88" t="s">
        <v>252</v>
      </c>
      <c r="G20" s="88" t="s">
        <v>192</v>
      </c>
      <c r="H20" s="88" t="s">
        <v>253</v>
      </c>
    </row>
    <row r="21">
      <c r="A21" s="90">
        <v>20.0</v>
      </c>
      <c r="B21" s="90" t="s">
        <v>245</v>
      </c>
      <c r="C21" s="90" t="s">
        <v>254</v>
      </c>
      <c r="D21" s="90">
        <v>13.1</v>
      </c>
      <c r="E21" s="90" t="s">
        <v>210</v>
      </c>
      <c r="F21" s="90" t="s">
        <v>255</v>
      </c>
      <c r="G21" s="90" t="s">
        <v>221</v>
      </c>
      <c r="H21" s="92"/>
    </row>
    <row r="22">
      <c r="A22" s="90">
        <v>21.0</v>
      </c>
      <c r="B22" s="90" t="s">
        <v>245</v>
      </c>
      <c r="C22" s="90" t="s">
        <v>256</v>
      </c>
      <c r="D22" s="90" t="s">
        <v>257</v>
      </c>
      <c r="E22" s="90" t="s">
        <v>197</v>
      </c>
      <c r="F22" s="90" t="s">
        <v>258</v>
      </c>
      <c r="G22" s="90" t="s">
        <v>221</v>
      </c>
      <c r="H22" s="92"/>
    </row>
    <row r="23">
      <c r="A23" s="90">
        <v>22.0</v>
      </c>
      <c r="B23" s="90" t="s">
        <v>245</v>
      </c>
      <c r="C23" s="90" t="s">
        <v>259</v>
      </c>
      <c r="D23" s="90" t="s">
        <v>260</v>
      </c>
      <c r="E23" s="90" t="s">
        <v>210</v>
      </c>
      <c r="F23" s="90" t="s">
        <v>261</v>
      </c>
      <c r="G23" s="90" t="s">
        <v>207</v>
      </c>
      <c r="H23" s="91"/>
    </row>
    <row r="24">
      <c r="A24" s="88">
        <v>23.0</v>
      </c>
      <c r="B24" s="88" t="s">
        <v>245</v>
      </c>
      <c r="C24" s="88" t="s">
        <v>262</v>
      </c>
      <c r="D24" s="88" t="s">
        <v>263</v>
      </c>
      <c r="E24" s="88" t="s">
        <v>190</v>
      </c>
      <c r="F24" s="88" t="s">
        <v>264</v>
      </c>
      <c r="G24" s="88" t="s">
        <v>192</v>
      </c>
      <c r="H24" s="88" t="s">
        <v>225</v>
      </c>
    </row>
    <row r="25">
      <c r="A25" s="88">
        <v>24.0</v>
      </c>
      <c r="B25" s="88" t="s">
        <v>245</v>
      </c>
      <c r="C25" s="88" t="s">
        <v>265</v>
      </c>
      <c r="D25" s="88" t="s">
        <v>266</v>
      </c>
      <c r="E25" s="88" t="s">
        <v>210</v>
      </c>
      <c r="F25" s="88" t="s">
        <v>267</v>
      </c>
      <c r="G25" s="88" t="s">
        <v>192</v>
      </c>
      <c r="H25" s="88" t="s">
        <v>225</v>
      </c>
    </row>
    <row r="26">
      <c r="A26" s="88">
        <v>25.0</v>
      </c>
      <c r="B26" s="88" t="s">
        <v>245</v>
      </c>
      <c r="C26" s="88" t="s">
        <v>268</v>
      </c>
      <c r="D26" s="88" t="s">
        <v>269</v>
      </c>
      <c r="E26" s="88" t="s">
        <v>270</v>
      </c>
      <c r="F26" s="88" t="s">
        <v>271</v>
      </c>
      <c r="G26" s="88" t="s">
        <v>192</v>
      </c>
      <c r="H26" s="88" t="s">
        <v>225</v>
      </c>
    </row>
    <row r="27">
      <c r="A27" s="88">
        <v>26.0</v>
      </c>
      <c r="B27" s="88" t="s">
        <v>245</v>
      </c>
      <c r="C27" s="88" t="s">
        <v>272</v>
      </c>
      <c r="D27" s="88" t="s">
        <v>273</v>
      </c>
      <c r="E27" s="88" t="s">
        <v>190</v>
      </c>
      <c r="F27" s="88" t="s">
        <v>274</v>
      </c>
      <c r="G27" s="88" t="s">
        <v>192</v>
      </c>
      <c r="H27" s="88" t="s">
        <v>225</v>
      </c>
    </row>
    <row r="28">
      <c r="A28" s="88">
        <v>27.0</v>
      </c>
      <c r="B28" s="88" t="s">
        <v>245</v>
      </c>
      <c r="C28" s="88" t="s">
        <v>275</v>
      </c>
      <c r="D28" s="88" t="s">
        <v>276</v>
      </c>
      <c r="E28" s="88" t="s">
        <v>190</v>
      </c>
      <c r="F28" s="88" t="s">
        <v>277</v>
      </c>
      <c r="G28" s="88" t="s">
        <v>192</v>
      </c>
      <c r="H28" s="88" t="s">
        <v>225</v>
      </c>
    </row>
    <row r="29">
      <c r="A29" s="88">
        <v>28.0</v>
      </c>
      <c r="B29" s="88" t="s">
        <v>245</v>
      </c>
      <c r="C29" s="88" t="s">
        <v>278</v>
      </c>
      <c r="D29" s="88" t="s">
        <v>279</v>
      </c>
      <c r="E29" s="88" t="s">
        <v>190</v>
      </c>
      <c r="F29" s="88" t="s">
        <v>280</v>
      </c>
      <c r="G29" s="88" t="s">
        <v>192</v>
      </c>
      <c r="H29" s="88" t="s">
        <v>225</v>
      </c>
    </row>
    <row r="30">
      <c r="A30" s="90">
        <v>29.0</v>
      </c>
      <c r="B30" s="90" t="s">
        <v>281</v>
      </c>
      <c r="C30" s="90" t="s">
        <v>282</v>
      </c>
      <c r="D30" s="90" t="s">
        <v>283</v>
      </c>
      <c r="E30" s="90" t="s">
        <v>190</v>
      </c>
      <c r="F30" s="90" t="s">
        <v>284</v>
      </c>
      <c r="G30" s="90" t="s">
        <v>221</v>
      </c>
      <c r="H30" s="91"/>
    </row>
    <row r="31">
      <c r="A31" s="90">
        <v>30.0</v>
      </c>
      <c r="B31" s="90" t="s">
        <v>281</v>
      </c>
      <c r="C31" s="90" t="s">
        <v>285</v>
      </c>
      <c r="D31" s="90" t="s">
        <v>286</v>
      </c>
      <c r="E31" s="90" t="s">
        <v>270</v>
      </c>
      <c r="F31" s="90" t="s">
        <v>287</v>
      </c>
      <c r="G31" s="90" t="s">
        <v>221</v>
      </c>
      <c r="H31" s="91"/>
    </row>
    <row r="32">
      <c r="A32" s="88">
        <v>31.0</v>
      </c>
      <c r="B32" s="88" t="s">
        <v>288</v>
      </c>
      <c r="C32" s="88" t="s">
        <v>289</v>
      </c>
      <c r="D32" s="88" t="s">
        <v>290</v>
      </c>
      <c r="E32" s="88" t="s">
        <v>197</v>
      </c>
      <c r="F32" s="88" t="s">
        <v>291</v>
      </c>
      <c r="G32" s="88" t="s">
        <v>192</v>
      </c>
      <c r="H32" s="88" t="s">
        <v>292</v>
      </c>
    </row>
    <row r="33">
      <c r="A33" s="88">
        <v>32.0</v>
      </c>
      <c r="B33" s="88" t="s">
        <v>288</v>
      </c>
      <c r="C33" s="88" t="s">
        <v>293</v>
      </c>
      <c r="D33" s="88" t="s">
        <v>294</v>
      </c>
      <c r="E33" s="88" t="s">
        <v>210</v>
      </c>
      <c r="F33" s="88" t="s">
        <v>295</v>
      </c>
      <c r="G33" s="88" t="s">
        <v>192</v>
      </c>
      <c r="H33" s="88" t="s">
        <v>296</v>
      </c>
    </row>
    <row r="34">
      <c r="A34" s="90">
        <v>33.0</v>
      </c>
      <c r="B34" s="90" t="s">
        <v>288</v>
      </c>
      <c r="C34" s="90" t="s">
        <v>297</v>
      </c>
      <c r="D34" s="90" t="s">
        <v>298</v>
      </c>
      <c r="E34" s="90" t="s">
        <v>210</v>
      </c>
      <c r="F34" s="90" t="s">
        <v>299</v>
      </c>
      <c r="G34" s="90" t="s">
        <v>207</v>
      </c>
      <c r="H34" s="91"/>
    </row>
    <row r="35">
      <c r="A35" s="90">
        <v>34.0</v>
      </c>
      <c r="B35" s="90" t="s">
        <v>288</v>
      </c>
      <c r="C35" s="90" t="s">
        <v>300</v>
      </c>
      <c r="D35" s="90" t="s">
        <v>301</v>
      </c>
      <c r="E35" s="90" t="s">
        <v>210</v>
      </c>
      <c r="F35" s="90" t="s">
        <v>302</v>
      </c>
      <c r="G35" s="90" t="s">
        <v>207</v>
      </c>
      <c r="H35" s="91"/>
    </row>
    <row r="36">
      <c r="A36" s="90">
        <v>35.0</v>
      </c>
      <c r="B36" s="90" t="s">
        <v>288</v>
      </c>
      <c r="C36" s="90" t="s">
        <v>303</v>
      </c>
      <c r="D36" s="90">
        <v>3.1</v>
      </c>
      <c r="E36" s="90" t="s">
        <v>190</v>
      </c>
      <c r="F36" s="90" t="s">
        <v>304</v>
      </c>
      <c r="G36" s="90" t="s">
        <v>207</v>
      </c>
      <c r="H36" s="90"/>
    </row>
    <row r="37">
      <c r="A37" s="90">
        <v>36.0</v>
      </c>
      <c r="B37" s="90" t="s">
        <v>288</v>
      </c>
      <c r="C37" s="90" t="s">
        <v>305</v>
      </c>
      <c r="D37" s="90" t="s">
        <v>306</v>
      </c>
      <c r="E37" s="90" t="s">
        <v>307</v>
      </c>
      <c r="F37" s="90" t="s">
        <v>308</v>
      </c>
      <c r="G37" s="90" t="s">
        <v>207</v>
      </c>
      <c r="H37" s="91"/>
    </row>
    <row r="38">
      <c r="A38" s="90">
        <v>37.0</v>
      </c>
      <c r="B38" s="90" t="s">
        <v>309</v>
      </c>
      <c r="C38" s="90" t="s">
        <v>310</v>
      </c>
      <c r="D38" s="90" t="s">
        <v>311</v>
      </c>
      <c r="E38" s="90" t="s">
        <v>312</v>
      </c>
      <c r="F38" s="90" t="s">
        <v>313</v>
      </c>
      <c r="G38" s="90" t="s">
        <v>207</v>
      </c>
      <c r="H38" s="91"/>
    </row>
    <row r="39">
      <c r="A39" s="90">
        <v>38.0</v>
      </c>
      <c r="B39" s="90" t="s">
        <v>309</v>
      </c>
      <c r="C39" s="90" t="s">
        <v>314</v>
      </c>
      <c r="D39" s="90" t="s">
        <v>315</v>
      </c>
      <c r="E39" s="90" t="s">
        <v>190</v>
      </c>
      <c r="F39" s="90" t="s">
        <v>316</v>
      </c>
      <c r="G39" s="90" t="s">
        <v>207</v>
      </c>
      <c r="H39" s="91"/>
    </row>
    <row r="40">
      <c r="A40" s="90">
        <v>39.0</v>
      </c>
      <c r="B40" s="90" t="s">
        <v>309</v>
      </c>
      <c r="C40" s="90" t="s">
        <v>317</v>
      </c>
      <c r="D40" s="90" t="s">
        <v>318</v>
      </c>
      <c r="E40" s="90" t="s">
        <v>319</v>
      </c>
      <c r="F40" s="90" t="s">
        <v>320</v>
      </c>
      <c r="G40" s="90" t="s">
        <v>221</v>
      </c>
      <c r="H40" s="91"/>
    </row>
    <row r="41">
      <c r="A41" s="90">
        <v>40.0</v>
      </c>
      <c r="B41" s="90" t="s">
        <v>309</v>
      </c>
      <c r="C41" s="90" t="s">
        <v>321</v>
      </c>
      <c r="D41" s="90" t="s">
        <v>279</v>
      </c>
      <c r="E41" s="90" t="s">
        <v>197</v>
      </c>
      <c r="F41" s="90" t="s">
        <v>322</v>
      </c>
      <c r="G41" s="90" t="s">
        <v>221</v>
      </c>
      <c r="H41" s="91"/>
    </row>
    <row r="42">
      <c r="A42" s="90">
        <v>41.0</v>
      </c>
      <c r="B42" s="90" t="s">
        <v>309</v>
      </c>
      <c r="C42" s="90" t="s">
        <v>323</v>
      </c>
      <c r="D42" s="90" t="s">
        <v>324</v>
      </c>
      <c r="E42" s="90" t="s">
        <v>197</v>
      </c>
      <c r="F42" s="90" t="s">
        <v>325</v>
      </c>
      <c r="G42" s="90" t="s">
        <v>221</v>
      </c>
      <c r="H42" s="91"/>
    </row>
    <row r="43">
      <c r="A43" s="90">
        <v>42.0</v>
      </c>
      <c r="B43" s="90" t="s">
        <v>309</v>
      </c>
      <c r="C43" s="90" t="s">
        <v>326</v>
      </c>
      <c r="D43" s="90" t="s">
        <v>327</v>
      </c>
      <c r="E43" s="90" t="s">
        <v>328</v>
      </c>
      <c r="F43" s="90" t="s">
        <v>329</v>
      </c>
      <c r="G43" s="90" t="s">
        <v>207</v>
      </c>
      <c r="H43" s="90" t="s">
        <v>330</v>
      </c>
    </row>
    <row r="44">
      <c r="A44" s="3"/>
      <c r="B44" s="2"/>
      <c r="C44" s="3"/>
      <c r="D44" s="3"/>
      <c r="E44" s="3"/>
      <c r="F44" s="3"/>
      <c r="G44" s="3"/>
      <c r="H44" s="3"/>
    </row>
    <row r="45">
      <c r="A45" s="3"/>
      <c r="B45" s="2"/>
      <c r="C45" s="3"/>
      <c r="D45" s="3"/>
      <c r="E45" s="3"/>
      <c r="F45" s="3"/>
      <c r="G45" s="3"/>
      <c r="H45" s="3"/>
    </row>
  </sheetData>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2.75"/>
  <cols>
    <col customWidth="1" min="1" max="2" width="25.13"/>
    <col customWidth="1" min="3" max="5" width="12.63"/>
  </cols>
  <sheetData>
    <row r="1">
      <c r="A1" s="93" t="str">
        <f>'Project Team'!A1</f>
        <v>Last Name</v>
      </c>
      <c r="B1" s="93" t="str">
        <f>'Project Team'!B1</f>
        <v>First Name</v>
      </c>
      <c r="C1" s="94" t="s">
        <v>331</v>
      </c>
      <c r="D1" s="95"/>
      <c r="E1" s="96"/>
      <c r="F1" s="97"/>
      <c r="G1" s="98"/>
      <c r="H1" s="98"/>
    </row>
    <row r="2">
      <c r="A2" s="99" t="str">
        <f>'Project Team'!A2</f>
        <v>Hilgers</v>
      </c>
      <c r="B2" s="99" t="str">
        <f>'Project Team'!B2</f>
        <v>Felix</v>
      </c>
      <c r="C2" s="100"/>
      <c r="D2" s="101"/>
      <c r="E2" s="102">
        <f>average(C2:C9)</f>
        <v>7.5</v>
      </c>
      <c r="F2" s="103" t="str">
        <f>if(stdev(C2:C6) &gt; 0,"NOK", "OK")</f>
        <v>NOK</v>
      </c>
      <c r="G2" s="104"/>
      <c r="H2" s="104"/>
    </row>
    <row r="3">
      <c r="A3" s="105"/>
      <c r="B3" s="105"/>
      <c r="C3" s="100"/>
      <c r="D3" s="106"/>
      <c r="G3" s="107"/>
      <c r="H3" s="107"/>
    </row>
    <row r="4">
      <c r="A4" s="99" t="str">
        <f>'Project Team'!A3</f>
        <v>Samdani</v>
      </c>
      <c r="B4" s="99" t="str">
        <f>'Project Team'!B3</f>
        <v>Sarib</v>
      </c>
      <c r="C4" s="100">
        <v>3.0</v>
      </c>
      <c r="D4" s="101"/>
      <c r="G4" s="104"/>
      <c r="H4" s="104"/>
    </row>
    <row r="5">
      <c r="A5" s="105" t="str">
        <f>'Project Team'!A4</f>
        <v>Chinbat</v>
      </c>
      <c r="B5" s="105" t="str">
        <f>'Project Team'!B4</f>
        <v>Anuun</v>
      </c>
      <c r="C5" s="100">
        <v>3.0</v>
      </c>
      <c r="D5" s="108"/>
      <c r="E5" s="108"/>
      <c r="F5" s="108"/>
      <c r="G5" s="107"/>
      <c r="H5" s="107"/>
    </row>
    <row r="6">
      <c r="A6" s="99" t="str">
        <f>'Project Team'!A7</f>
        <v>Badura</v>
      </c>
      <c r="B6" s="99" t="str">
        <f>'Project Team'!B7</f>
        <v>Emil</v>
      </c>
      <c r="C6" s="100">
        <v>21.0</v>
      </c>
      <c r="D6" s="109"/>
      <c r="E6" s="110">
        <v>0.0</v>
      </c>
      <c r="F6" s="111" t="s">
        <v>332</v>
      </c>
      <c r="G6" s="104"/>
      <c r="H6" s="104"/>
    </row>
    <row r="7">
      <c r="A7" s="105" t="str">
        <f>'Project Team'!A8</f>
        <v>Assenbaum</v>
      </c>
      <c r="B7" s="105" t="str">
        <f>'Project Team'!B8</f>
        <v>Paul</v>
      </c>
      <c r="C7" s="112"/>
      <c r="D7" s="108"/>
      <c r="E7" s="110">
        <v>1.0</v>
      </c>
      <c r="F7" s="111" t="s">
        <v>333</v>
      </c>
      <c r="G7" s="107"/>
      <c r="H7" s="107"/>
    </row>
    <row r="8">
      <c r="A8" s="99" t="str">
        <f>'Project Team'!A9</f>
        <v>Mantsch</v>
      </c>
      <c r="B8" s="99" t="str">
        <f>'Project Team'!B9</f>
        <v>Christoph</v>
      </c>
      <c r="C8" s="100"/>
      <c r="D8" s="109"/>
      <c r="E8" s="110">
        <v>2.0</v>
      </c>
      <c r="F8" s="111" t="s">
        <v>334</v>
      </c>
      <c r="G8" s="104"/>
      <c r="H8" s="104"/>
    </row>
    <row r="9">
      <c r="A9" s="113" t="s">
        <v>60</v>
      </c>
      <c r="B9" s="113" t="s">
        <v>61</v>
      </c>
      <c r="C9" s="100">
        <v>3.0</v>
      </c>
      <c r="D9" s="108"/>
      <c r="E9" s="110">
        <v>3.0</v>
      </c>
      <c r="F9" s="111" t="s">
        <v>335</v>
      </c>
      <c r="G9" s="107"/>
      <c r="H9" s="107"/>
    </row>
    <row r="10">
      <c r="C10" s="114"/>
      <c r="D10" s="109"/>
      <c r="E10" s="110">
        <v>5.0</v>
      </c>
      <c r="F10" s="111" t="s">
        <v>336</v>
      </c>
      <c r="G10" s="104"/>
      <c r="H10" s="104"/>
    </row>
    <row r="11">
      <c r="A11" s="99" t="str">
        <f>'Project Team'!A5</f>
        <v>Goldschmidt</v>
      </c>
      <c r="B11" s="99" t="str">
        <f>'Project Team'!B5</f>
        <v>Georgina</v>
      </c>
      <c r="C11" s="100"/>
      <c r="D11" s="108"/>
      <c r="E11" s="110">
        <v>8.0</v>
      </c>
      <c r="F11" s="111" t="s">
        <v>337</v>
      </c>
      <c r="G11" s="107"/>
      <c r="H11" s="107"/>
    </row>
    <row r="12">
      <c r="A12" s="105" t="str">
        <f>'Project Team'!A6</f>
        <v>Zinn</v>
      </c>
      <c r="B12" s="113" t="s">
        <v>45</v>
      </c>
      <c r="C12" s="115"/>
      <c r="D12" s="109"/>
      <c r="E12" s="110">
        <v>13.0</v>
      </c>
      <c r="F12" s="111" t="s">
        <v>338</v>
      </c>
      <c r="G12" s="104"/>
      <c r="H12" s="104"/>
    </row>
    <row r="13">
      <c r="C13" s="108"/>
      <c r="D13" s="108"/>
      <c r="E13" s="108"/>
      <c r="F13" s="108"/>
      <c r="G13" s="107"/>
      <c r="H13" s="107"/>
    </row>
    <row r="14">
      <c r="A14" s="116" t="s">
        <v>339</v>
      </c>
      <c r="B14" s="117"/>
      <c r="C14" s="117"/>
      <c r="D14" s="117"/>
      <c r="E14" s="117"/>
      <c r="F14" s="117"/>
      <c r="G14" s="117"/>
      <c r="H14" s="117"/>
    </row>
    <row r="15">
      <c r="A15" s="118"/>
      <c r="B15" s="118"/>
      <c r="C15" s="118"/>
      <c r="D15" s="118"/>
      <c r="E15" s="118"/>
      <c r="F15" s="118"/>
      <c r="G15" s="118"/>
      <c r="H15" s="118"/>
    </row>
    <row r="16">
      <c r="A16" s="119" t="s">
        <v>340</v>
      </c>
      <c r="B16" s="120"/>
      <c r="C16" s="120"/>
      <c r="D16" s="120"/>
      <c r="E16" s="120"/>
      <c r="F16" s="120"/>
      <c r="G16" s="120"/>
      <c r="H16" s="120"/>
    </row>
    <row r="17">
      <c r="A17" s="121" t="s">
        <v>341</v>
      </c>
      <c r="B17" s="118"/>
      <c r="C17" s="118"/>
      <c r="D17" s="118"/>
      <c r="E17" s="118"/>
      <c r="F17" s="118"/>
      <c r="G17" s="118"/>
      <c r="H17" s="118"/>
    </row>
    <row r="18">
      <c r="A18" s="119" t="s">
        <v>342</v>
      </c>
      <c r="B18" s="120"/>
      <c r="C18" s="120"/>
      <c r="D18" s="120"/>
      <c r="E18" s="120"/>
      <c r="F18" s="120"/>
      <c r="G18" s="120"/>
      <c r="H18" s="120"/>
    </row>
    <row r="19">
      <c r="A19" s="118"/>
      <c r="B19" s="118"/>
      <c r="C19" s="118"/>
      <c r="D19" s="118"/>
      <c r="E19" s="118"/>
      <c r="F19" s="118"/>
      <c r="G19" s="122" t="s">
        <v>343</v>
      </c>
      <c r="H19" s="118"/>
    </row>
    <row r="20">
      <c r="A20" s="120"/>
      <c r="B20" s="120"/>
      <c r="C20" s="120"/>
      <c r="D20" s="120"/>
      <c r="E20" s="120"/>
      <c r="F20" s="120"/>
      <c r="G20" s="120"/>
      <c r="H20" s="120"/>
    </row>
  </sheetData>
  <mergeCells count="2">
    <mergeCell ref="E2:E4"/>
    <mergeCell ref="F2:F4"/>
  </mergeCells>
  <printOptions gridLines="1" horizontalCentered="1"/>
  <pageMargins bottom="0.75" footer="0.0" header="0.0" left="0.7" right="0.7" top="0.75"/>
  <pageSetup fitToHeight="0" paperSize="9" cellComments="atEnd" orientation="landscape" pageOrder="overThenDown"/>
  <drawing r:id="rId1"/>
</worksheet>
</file>