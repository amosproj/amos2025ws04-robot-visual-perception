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Data" sheetId="1" state="visible" r:id="rId1"/>
    <sheet name="Project Team" sheetId="2" state="visible" r:id="rId2"/>
    <sheet name="Role Assignments" sheetId="3" state="visible" r:id="rId3"/>
    <sheet name="Team Contract" sheetId="4" state="visible" r:id="rId4"/>
    <sheet name="Product Goal" sheetId="5" state="visible" r:id="rId5"/>
    <sheet name="Product Glossary" sheetId="6" state="visible" r:id="rId6"/>
    <sheet name="Sprint Goals" sheetId="7" state="visible" r:id="rId7"/>
    <sheet name="Velocity Tracking" sheetId="8" state="visible" r:id="rId8"/>
    <sheet name="Mid-Project Release plan" sheetId="9" state="visible" r:id="rId9"/>
    <sheet name="Final Project Release plan" sheetId="10" state="visible" r:id="rId10"/>
    <sheet name="Definition of Done" sheetId="11" state="visible" r:id="rId11"/>
    <sheet name="Documentation" sheetId="12" state="visible" r:id="rId12"/>
    <sheet name="Planning Poker" sheetId="13" state="visible" r:id="rId13"/>
    <sheet name="Bill of Materials" sheetId="14" state="visible" r:id="rId14"/>
  </sheets>
  <definedNames/>
  <calcPr calcId="124519" fullCalcOnLoad="1"/>
</workbook>
</file>

<file path=xl/styles.xml><?xml version="1.0" encoding="utf-8"?>
<styleSheet xmlns="http://schemas.openxmlformats.org/spreadsheetml/2006/main">
  <numFmts count="2">
    <numFmt numFmtId="164" formatCode="yyyy-mm-dd"/>
    <numFmt numFmtId="165" formatCode="yyyy&quot;-&quot;mm&quot;-&quot;dd"/>
  </numFmts>
  <fonts count="13">
    <font>
      <name val="Arial"/>
      <color rgb="FF000000"/>
      <sz val="10"/>
    </font>
    <font>
      <b val="1"/>
    </font>
    <font/>
    <font>
      <color rgb="FF0000FF"/>
      <u val="single"/>
    </font>
    <font>
      <color rgb="FF0000FF"/>
      <u val="single"/>
    </font>
    <font>
      <color rgb="FF0000FF"/>
      <u val="single"/>
    </font>
    <font>
      <color rgb="FF0000FF"/>
      <u val="single"/>
    </font>
    <font>
      <name val="Arial"/>
      <b val="1"/>
    </font>
    <font>
      <name val="Arial"/>
    </font>
    <font>
      <name val="Arial"/>
      <color rgb="FFFFFFFF"/>
    </font>
    <font>
      <name val="Calibri"/>
      <b val="1"/>
      <color rgb="FFFFFFFF"/>
      <sz val="11"/>
    </font>
    <font>
      <name val="Calibri"/>
      <color rgb="FF000000"/>
      <sz val="11"/>
    </font>
    <font>
      <name val="Arial"/>
      <b val="1"/>
      <sz val="24"/>
    </font>
  </fonts>
  <fills count="13">
    <fill>
      <patternFill/>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
      <patternFill patternType="solid">
        <fgColor rgb="FF4472C4"/>
        <bgColor rgb="FF4472C4"/>
      </patternFill>
    </fill>
    <fill>
      <patternFill patternType="solid">
        <fgColor rgb="FFD4EDDA"/>
        <bgColor rgb="FFD4EDDA"/>
      </patternFill>
    </fill>
    <fill>
      <patternFill patternType="solid">
        <fgColor rgb="FFFFF3CD"/>
        <bgColor rgb="FFFFF3CD"/>
      </patternFill>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116">
    <xf numFmtId="0" fontId="0" fillId="0" borderId="0" applyAlignment="1" pivotButton="0" quotePrefix="0" xfId="0">
      <alignment vertical="bottom" wrapText="1"/>
    </xf>
    <xf numFmtId="0" fontId="1" fillId="0" borderId="0" applyAlignment="1" pivotButton="0" quotePrefix="0" xfId="0">
      <alignment wrapText="1"/>
    </xf>
    <xf numFmtId="0" fontId="2" fillId="0" borderId="0" applyAlignment="1" pivotButton="0" quotePrefix="0" xfId="0">
      <alignment wrapText="1"/>
    </xf>
    <xf numFmtId="0" fontId="2" fillId="0" borderId="0" applyAlignment="1" pivotButton="0" quotePrefix="0" xfId="0">
      <alignment wrapText="1"/>
    </xf>
    <xf numFmtId="0" fontId="1"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5" fillId="0" borderId="0" applyAlignment="1" pivotButton="0" quotePrefix="0" xfId="0">
      <alignment wrapText="1"/>
    </xf>
    <xf numFmtId="0" fontId="1" fillId="0" borderId="0" pivotButton="0" quotePrefix="0" xfId="0"/>
    <xf numFmtId="0" fontId="2" fillId="0" borderId="0" pivotButton="0" quotePrefix="0" xfId="0"/>
    <xf numFmtId="0" fontId="6" fillId="0" borderId="0" pivotButton="0" quotePrefix="0" xfId="0"/>
    <xf numFmtId="0" fontId="2" fillId="0" borderId="0" pivotButton="0" quotePrefix="0" xfId="0"/>
    <xf numFmtId="0" fontId="2" fillId="0" borderId="0" pivotButton="0" quotePrefix="0" xfId="0"/>
    <xf numFmtId="0" fontId="1"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xf>
    <xf numFmtId="0" fontId="1" fillId="0" borderId="0" applyAlignment="1" pivotButton="0" quotePrefix="0" xfId="0">
      <alignment horizontal="center"/>
    </xf>
    <xf numFmtId="0" fontId="1" fillId="0" borderId="0" applyAlignment="1" pivotButton="0" quotePrefix="0" xfId="0">
      <alignment horizontal="center"/>
    </xf>
    <xf numFmtId="0" fontId="2" fillId="0" borderId="0" applyAlignment="1" pivotButton="0" quotePrefix="0" xfId="0">
      <alignment horizontal="center"/>
    </xf>
    <xf numFmtId="164" fontId="2" fillId="0" borderId="0" pivotButton="0" quotePrefix="0" xfId="0"/>
    <xf numFmtId="0" fontId="2" fillId="0" borderId="0" applyAlignment="1" pivotButton="0" quotePrefix="0" xfId="0">
      <alignment horizontal="left"/>
    </xf>
    <xf numFmtId="164" fontId="2" fillId="0" borderId="0" pivotButton="0" quotePrefix="0" xfId="0"/>
    <xf numFmtId="165" fontId="2" fillId="0" borderId="0" applyAlignment="1" pivotButton="0" quotePrefix="0" xfId="0">
      <alignment horizontal="left"/>
    </xf>
    <xf numFmtId="165" fontId="2" fillId="0" borderId="0" pivotButton="0" quotePrefix="0" xfId="0"/>
    <xf numFmtId="165" fontId="2" fillId="0" borderId="0" applyAlignment="1" pivotButton="0" quotePrefix="0" xfId="0">
      <alignment horizontal="left"/>
    </xf>
    <xf numFmtId="165" fontId="2" fillId="0" borderId="0" applyAlignment="1" pivotButton="0" quotePrefix="0" xfId="0">
      <alignment horizontal="left"/>
    </xf>
    <xf numFmtId="0" fontId="2" fillId="0" borderId="0" applyAlignment="1" pivotButton="0" quotePrefix="0" xfId="0">
      <alignment horizontal="left"/>
    </xf>
    <xf numFmtId="0" fontId="7" fillId="3" borderId="0" applyAlignment="1" pivotButton="0" quotePrefix="0" xfId="0">
      <alignment vertical="bottom" wrapText="1"/>
    </xf>
    <xf numFmtId="0" fontId="8" fillId="3" borderId="0" applyAlignment="1" pivotButton="0" quotePrefix="0" xfId="0">
      <alignment vertical="bottom" wrapText="1"/>
    </xf>
    <xf numFmtId="0" fontId="8" fillId="4" borderId="0" applyAlignment="1" pivotButton="0" quotePrefix="0" xfId="0">
      <alignment vertical="bottom" wrapText="1"/>
    </xf>
    <xf numFmtId="0" fontId="8" fillId="4" borderId="0" applyAlignment="1" pivotButton="0" quotePrefix="0" xfId="0">
      <alignment vertical="bottom" wrapText="1"/>
    </xf>
    <xf numFmtId="0" fontId="7" fillId="3" borderId="0" applyAlignment="1" pivotButton="0" quotePrefix="0" xfId="0">
      <alignment vertical="bottom" wrapText="1"/>
    </xf>
    <xf numFmtId="0" fontId="8" fillId="3" borderId="0" applyAlignment="1" pivotButton="0" quotePrefix="0" xfId="0">
      <alignment vertical="bottom" wrapText="1"/>
    </xf>
    <xf numFmtId="0" fontId="7" fillId="3" borderId="0" applyAlignment="1" pivotButton="0" quotePrefix="0" xfId="0">
      <alignment vertical="bottom" wrapText="1"/>
    </xf>
    <xf numFmtId="0" fontId="2" fillId="0" borderId="0" applyAlignment="1" pivotButton="0" quotePrefix="0" xfId="0">
      <alignment wrapText="1"/>
    </xf>
    <xf numFmtId="0" fontId="2" fillId="0" borderId="0" applyAlignment="1" pivotButton="0" quotePrefix="0" xfId="0">
      <alignment wrapText="1"/>
    </xf>
    <xf numFmtId="0" fontId="1" fillId="2"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wrapText="1"/>
    </xf>
    <xf numFmtId="0" fontId="8" fillId="4" borderId="0" applyAlignment="1" pivotButton="0" quotePrefix="0" xfId="0">
      <alignment vertical="top" wrapText="1"/>
    </xf>
    <xf numFmtId="0" fontId="1" fillId="0" borderId="0" applyAlignment="1" pivotButton="0" quotePrefix="0" xfId="0">
      <alignment wrapText="1"/>
    </xf>
    <xf numFmtId="0" fontId="1" fillId="0" borderId="0" applyAlignment="1" pivotButton="0" quotePrefix="0" xfId="0">
      <alignment horizontal="left" wrapText="1"/>
    </xf>
    <xf numFmtId="0" fontId="2" fillId="0" borderId="0" applyAlignment="1" pivotButton="0" quotePrefix="0" xfId="0">
      <alignment horizontal="left" wrapText="1"/>
    </xf>
    <xf numFmtId="0" fontId="2" fillId="0" borderId="0" applyAlignment="1" pivotButton="0" quotePrefix="0" xfId="0">
      <alignment horizontal="left" wrapText="1"/>
    </xf>
    <xf numFmtId="0" fontId="1" fillId="5" borderId="0" applyAlignment="1" pivotButton="0" quotePrefix="0" xfId="0">
      <alignment wrapText="1"/>
    </xf>
    <xf numFmtId="0" fontId="7" fillId="2" borderId="0" applyAlignment="1" pivotButton="0" quotePrefix="0" xfId="0">
      <alignment horizontal="left" vertical="bottom" wrapText="1"/>
    </xf>
    <xf numFmtId="0" fontId="7" fillId="2" borderId="0" applyAlignment="1" pivotButton="0" quotePrefix="0" xfId="0">
      <alignment vertical="bottom"/>
    </xf>
    <xf numFmtId="0" fontId="7" fillId="2" borderId="0" applyAlignment="1" pivotButton="0" quotePrefix="0" xfId="0">
      <alignment vertical="bottom"/>
    </xf>
    <xf numFmtId="0" fontId="7" fillId="2" borderId="0" applyAlignment="1" pivotButton="0" quotePrefix="0" xfId="0">
      <alignment horizontal="center" vertical="bottom" wrapText="1"/>
    </xf>
    <xf numFmtId="0" fontId="8" fillId="3" borderId="0" applyAlignment="1" pivotButton="0" quotePrefix="0" xfId="0">
      <alignment horizontal="left" vertical="bottom" wrapText="1"/>
    </xf>
    <xf numFmtId="0" fontId="8" fillId="3" borderId="0" applyAlignment="1" pivotButton="0" quotePrefix="0" xfId="0">
      <alignment vertical="bottom"/>
    </xf>
    <xf numFmtId="0" fontId="7" fillId="6" borderId="0" applyAlignment="1" pivotButton="0" quotePrefix="0" xfId="0">
      <alignment horizontal="left" vertical="bottom"/>
    </xf>
    <xf numFmtId="0" fontId="8" fillId="6" borderId="0" applyAlignment="1" pivotButton="0" quotePrefix="0" xfId="0">
      <alignment vertical="bottom"/>
    </xf>
    <xf numFmtId="0" fontId="8" fillId="6" borderId="0" applyAlignment="1" pivotButton="0" quotePrefix="0" xfId="0">
      <alignment vertical="bottom" wrapText="1"/>
    </xf>
    <xf numFmtId="0" fontId="7" fillId="4" borderId="0" applyAlignment="1" pivotButton="0" quotePrefix="0" xfId="0">
      <alignment vertical="bottom"/>
    </xf>
    <xf numFmtId="0" fontId="2" fillId="0" borderId="0" pivotButton="0" quotePrefix="0" xfId="0"/>
    <xf numFmtId="0" fontId="8" fillId="4" borderId="0" applyAlignment="1" pivotButton="0" quotePrefix="0" xfId="0">
      <alignment horizontal="right" vertical="bottom"/>
    </xf>
    <xf numFmtId="0" fontId="7" fillId="7" borderId="0" applyAlignment="1" pivotButton="0" quotePrefix="0" xfId="0">
      <alignment horizontal="left" vertical="bottom"/>
    </xf>
    <xf numFmtId="0" fontId="7" fillId="7" borderId="0" applyAlignment="1" pivotButton="0" quotePrefix="0" xfId="0">
      <alignment vertical="bottom"/>
    </xf>
    <xf numFmtId="0" fontId="8" fillId="7" borderId="0" applyAlignment="1" pivotButton="0" quotePrefix="0" xfId="0">
      <alignment vertical="bottom" wrapText="1"/>
    </xf>
    <xf numFmtId="0" fontId="9" fillId="3" borderId="0" applyAlignment="1" pivotButton="0" quotePrefix="0" xfId="0">
      <alignment horizontal="center" vertical="bottom"/>
    </xf>
    <xf numFmtId="0" fontId="8" fillId="4" borderId="0" applyAlignment="1" pivotButton="0" quotePrefix="0" xfId="0">
      <alignment horizontal="left" vertical="bottom" wrapText="1"/>
    </xf>
    <xf numFmtId="0" fontId="8" fillId="3" borderId="0" applyAlignment="1" pivotButton="0" quotePrefix="0" xfId="0">
      <alignment horizontal="right" vertical="bottom"/>
    </xf>
    <xf numFmtId="0" fontId="8" fillId="3" borderId="0" applyAlignment="1" pivotButton="0" quotePrefix="0" xfId="0">
      <alignment horizontal="left" vertical="bottom" wrapText="1"/>
    </xf>
    <xf numFmtId="0" fontId="8" fillId="3" borderId="0" applyAlignment="1" pivotButton="0" quotePrefix="0" xfId="0">
      <alignment vertical="bottom"/>
    </xf>
    <xf numFmtId="0" fontId="7" fillId="8" borderId="0" applyAlignment="1" pivotButton="0" quotePrefix="0" xfId="0">
      <alignment horizontal="left" vertical="bottom"/>
    </xf>
    <xf numFmtId="0" fontId="7" fillId="8" borderId="0" applyAlignment="1" pivotButton="0" quotePrefix="0" xfId="0">
      <alignment vertical="bottom"/>
    </xf>
    <xf numFmtId="0" fontId="8" fillId="8" borderId="0" applyAlignment="1" pivotButton="0" quotePrefix="0" xfId="0">
      <alignment vertical="bottom" wrapText="1"/>
    </xf>
    <xf numFmtId="0" fontId="7" fillId="3" borderId="0" applyAlignment="1" pivotButton="0" quotePrefix="0" xfId="0">
      <alignment horizontal="left" vertical="bottom"/>
    </xf>
    <xf numFmtId="0" fontId="7" fillId="3" borderId="0" applyAlignment="1" pivotButton="0" quotePrefix="0" xfId="0">
      <alignment vertical="bottom"/>
    </xf>
    <xf numFmtId="0" fontId="8" fillId="4" borderId="0" applyAlignment="1" pivotButton="0" quotePrefix="0" xfId="0">
      <alignment vertical="bottom"/>
    </xf>
    <xf numFmtId="0" fontId="8" fillId="3" borderId="0" applyAlignment="1" pivotButton="0" quotePrefix="0" xfId="0">
      <alignment horizontal="right" vertical="bottom"/>
    </xf>
    <xf numFmtId="0" fontId="8" fillId="3" borderId="0" applyAlignment="1" pivotButton="0" quotePrefix="0" xfId="0">
      <alignment horizontal="left" vertical="bottom" wrapText="1"/>
    </xf>
    <xf numFmtId="0" fontId="1" fillId="5" borderId="0" pivotButton="0" quotePrefix="0" xfId="0"/>
    <xf numFmtId="0" fontId="7" fillId="2" borderId="0" applyAlignment="1" pivotButton="0" quotePrefix="0" xfId="0">
      <alignment vertical="bottom" wrapText="1"/>
    </xf>
    <xf numFmtId="0" fontId="7" fillId="7" borderId="0" applyAlignment="1" pivotButton="0" quotePrefix="0" xfId="0">
      <alignment vertical="bottom"/>
    </xf>
    <xf numFmtId="0" fontId="8" fillId="3" borderId="0" applyAlignment="1" pivotButton="0" quotePrefix="0" xfId="0">
      <alignment vertical="bottom" wrapText="1"/>
    </xf>
    <xf numFmtId="0" fontId="7" fillId="2" borderId="0" applyAlignment="1" pivotButton="0" quotePrefix="0" xfId="0">
      <alignment vertical="bottom" wrapText="1"/>
    </xf>
    <xf numFmtId="0" fontId="7" fillId="2" borderId="0" applyAlignment="1" pivotButton="0" quotePrefix="0" xfId="0">
      <alignment vertical="bottom"/>
    </xf>
    <xf numFmtId="0" fontId="10" fillId="9" borderId="1" applyAlignment="1" pivotButton="0" quotePrefix="0" xfId="0">
      <alignment horizontal="center"/>
    </xf>
    <xf numFmtId="0" fontId="11" fillId="10" borderId="1" applyAlignment="1" pivotButton="0" quotePrefix="0" xfId="0">
      <alignment horizontal="left" wrapText="1"/>
    </xf>
    <xf numFmtId="0" fontId="11" fillId="10" borderId="1" applyAlignment="1" pivotButton="0" quotePrefix="0" xfId="0">
      <alignment horizontal="left" wrapText="1"/>
    </xf>
    <xf numFmtId="0" fontId="11" fillId="11" borderId="1" applyAlignment="1" pivotButton="0" quotePrefix="0" xfId="0">
      <alignment horizontal="left" wrapText="1"/>
    </xf>
    <xf numFmtId="0" fontId="11" fillId="11" borderId="1" applyAlignment="1" pivotButton="0" quotePrefix="0" xfId="0">
      <alignment horizontal="left" wrapText="1"/>
    </xf>
    <xf numFmtId="0" fontId="11" fillId="11" borderId="1" applyAlignment="1" pivotButton="0" quotePrefix="0" xfId="0">
      <alignment horizontal="left" wrapText="1"/>
    </xf>
    <xf numFmtId="0" fontId="7" fillId="2" borderId="0" applyAlignment="1" pivotButton="0" quotePrefix="0" xfId="0">
      <alignment vertical="center" wrapText="1"/>
    </xf>
    <xf numFmtId="0" fontId="7" fillId="2" borderId="0" applyAlignment="1" pivotButton="0" quotePrefix="0" xfId="0">
      <alignment horizontal="center" vertical="center" wrapText="1"/>
    </xf>
    <xf numFmtId="4" fontId="7" fillId="2" borderId="0" applyAlignment="1" pivotButton="0" quotePrefix="0" xfId="0">
      <alignment vertical="center" wrapText="1"/>
    </xf>
    <xf numFmtId="4" fontId="8" fillId="2" borderId="0" applyAlignment="1" pivotButton="0" quotePrefix="0" xfId="0">
      <alignment vertical="center" wrapText="1"/>
    </xf>
    <xf numFmtId="0" fontId="8" fillId="2" borderId="0" applyAlignment="1" pivotButton="0" quotePrefix="0" xfId="0">
      <alignment vertical="center" wrapText="1"/>
    </xf>
    <xf numFmtId="0" fontId="1" fillId="2" borderId="0" applyAlignment="1" pivotButton="0" quotePrefix="0" xfId="0">
      <alignment vertical="center" wrapText="1"/>
    </xf>
    <xf numFmtId="0" fontId="7" fillId="3" borderId="0" applyAlignment="1" pivotButton="0" quotePrefix="0" xfId="0">
      <alignment vertical="center" wrapText="1"/>
    </xf>
    <xf numFmtId="0" fontId="8" fillId="5" borderId="0" applyAlignment="1" pivotButton="0" quotePrefix="0" xfId="0">
      <alignment horizontal="center" vertical="center" wrapText="1"/>
    </xf>
    <xf numFmtId="4" fontId="8" fillId="3" borderId="0" applyAlignment="1" pivotButton="0" quotePrefix="0" xfId="0">
      <alignment vertical="center" wrapText="1"/>
    </xf>
    <xf numFmtId="4" fontId="12" fillId="8" borderId="0" applyAlignment="1" pivotButton="0" quotePrefix="0" xfId="0">
      <alignment horizontal="center" vertical="center" wrapText="1"/>
    </xf>
    <xf numFmtId="0" fontId="12" fillId="8" borderId="0" applyAlignment="1" pivotButton="0" quotePrefix="0" xfId="0">
      <alignment horizontal="center" vertical="center" wrapText="1"/>
    </xf>
    <xf numFmtId="0" fontId="2" fillId="3" borderId="0" applyAlignment="1" pivotButton="0" quotePrefix="0" xfId="0">
      <alignment vertical="center" wrapText="1"/>
    </xf>
    <xf numFmtId="0" fontId="7" fillId="4" borderId="0" applyAlignment="1" pivotButton="0" quotePrefix="0" xfId="0">
      <alignment vertical="center" wrapText="1"/>
    </xf>
    <xf numFmtId="4" fontId="8" fillId="4" borderId="0" applyAlignment="1" pivotButton="0" quotePrefix="0" xfId="0">
      <alignment vertical="center" wrapText="1"/>
    </xf>
    <xf numFmtId="0" fontId="2" fillId="4" borderId="0" applyAlignment="1" pivotButton="0" quotePrefix="0" xfId="0">
      <alignment vertical="center" wrapText="1"/>
    </xf>
    <xf numFmtId="0" fontId="8" fillId="4" borderId="0" applyAlignment="1" pivotButton="0" quotePrefix="0" xfId="0">
      <alignment vertical="center" wrapText="1"/>
    </xf>
    <xf numFmtId="0" fontId="8" fillId="3" borderId="0" applyAlignment="1" pivotButton="0" quotePrefix="0" xfId="0">
      <alignment vertical="center" wrapText="1"/>
    </xf>
    <xf numFmtId="0" fontId="8" fillId="7" borderId="0" applyAlignment="1" pivotButton="0" quotePrefix="0" xfId="0">
      <alignment horizontal="center" vertical="center" wrapText="1"/>
    </xf>
    <xf numFmtId="0" fontId="8" fillId="7" borderId="0" applyAlignment="1" pivotButton="0" quotePrefix="0" xfId="0">
      <alignment vertical="center" wrapText="1"/>
    </xf>
    <xf numFmtId="0" fontId="7" fillId="4" borderId="0" applyAlignment="1" pivotButton="0" quotePrefix="0" xfId="0">
      <alignment vertical="center" wrapText="1"/>
    </xf>
    <xf numFmtId="0" fontId="2" fillId="5" borderId="0" applyAlignment="1" pivotButton="0" quotePrefix="0" xfId="0">
      <alignment wrapText="1"/>
    </xf>
    <xf numFmtId="0" fontId="8" fillId="3" borderId="0" applyAlignment="1" pivotButton="0" quotePrefix="0" xfId="0">
      <alignment horizontal="center" vertical="center" wrapText="1"/>
    </xf>
    <xf numFmtId="0" fontId="1" fillId="3" borderId="0" pivotButton="0" quotePrefix="0" xfId="0"/>
    <xf numFmtId="0" fontId="1" fillId="3" borderId="0" pivotButton="0" quotePrefix="0" xfId="0"/>
    <xf numFmtId="0" fontId="2" fillId="4" borderId="0" pivotButton="0" quotePrefix="0" xfId="0"/>
    <xf numFmtId="0" fontId="2" fillId="3" borderId="0" pivotButton="0" quotePrefix="0" xfId="0"/>
    <xf numFmtId="0" fontId="2" fillId="3" borderId="0" pivotButton="0" quotePrefix="0" xfId="0"/>
    <xf numFmtId="0" fontId="2" fillId="4" borderId="0" pivotButton="0" quotePrefix="0" xfId="0"/>
    <xf numFmtId="0" fontId="2" fillId="4" borderId="0" pivotButton="0" quotePrefix="0" xfId="0"/>
    <xf numFmtId="0" fontId="0" fillId="0" borderId="0" pivotButton="0" quotePrefix="0" xfId="0"/>
    <xf numFmtId="0" fontId="0" fillId="12" borderId="0" pivotButton="0" quotePrefix="0" xfId="0"/>
  </cellXfs>
  <cellStyles count="1">
    <cellStyle name="Normal" xfId="0" builtinId="0"/>
  </cellStyles>
  <dxfs count="4">
    <dxf>
      <font/>
      <fill>
        <patternFill/>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2" defaultTableStyle="TableStyleMedium9" defaultPivotStyle="PivotStyleLight16">
    <tableStyle name="Project Data-style" pivot="0" count="3">
      <tableStyleElement type="headerRow" dxfId="1"/>
      <tableStyleElement type="firstRowStripe" dxfId="2"/>
      <tableStyleElement type="secondRowStripe" dxfId="3"/>
    </tableStyle>
    <tableStyle name="Project Team-style" pivot="0" count="3">
      <tableStyleElement type="headerRow" dxfId="1"/>
      <tableStyleElement type="firstRowStripe" dxfId="2"/>
      <tableStyleElement type="secondRowStripe" dxfId="3"/>
    </tableStyle>
    <tableStyle name="Role Assignments-style" pivot="0" count="3">
      <tableStyleElement type="headerRow" dxfId="1"/>
      <tableStyleElement type="firstRowStripe" dxfId="2"/>
      <tableStyleElement type="secondRowStripe" dxfId="3"/>
    </tableStyle>
    <tableStyle name="Team Contract-style" pivot="0" count="3">
      <tableStyleElement type="headerRow" dxfId="1"/>
      <tableStyleElement type="firstRowStripe" dxfId="2"/>
      <tableStyleElement type="secondRowStripe" dxfId="3"/>
    </tableStyle>
    <tableStyle name="Product Glossary-style" pivot="0" count="3">
      <tableStyleElement type="headerRow" dxfId="1"/>
      <tableStyleElement type="firstRowStripe" dxfId="2"/>
      <tableStyleElement type="secondRowStripe" dxfId="3"/>
    </tableStyle>
    <tableStyle name="Sprint Goals-style" pivot="0" count="3">
      <tableStyleElement type="headerRow" dxfId="1"/>
      <tableStyleElement type="firstRowStripe" dxfId="2"/>
      <tableStyleElement type="secondRowStripe" dxfId="3"/>
    </tableStyle>
    <tableStyle name="Velocity Tracking-style" pivot="0" count="3">
      <tableStyleElement type="headerRow" dxfId="1"/>
      <tableStyleElement type="firstRowStripe" dxfId="2"/>
      <tableStyleElement type="secondRowStripe" dxfId="3"/>
    </tableStyle>
    <tableStyle name="Mid-Project Release plan-style" pivot="0" count="3">
      <tableStyleElement type="headerRow" dxfId="1"/>
      <tableStyleElement type="firstRowStripe" dxfId="2"/>
      <tableStyleElement type="secondRowStripe" dxfId="3"/>
    </tableStyle>
    <tableStyle name="Final Project Release plan-style" pivot="0" count="3">
      <tableStyleElement type="headerRow" dxfId="1"/>
      <tableStyleElement type="firstRowStripe" dxfId="2"/>
      <tableStyleElement type="secondRowStripe" dxfId="3"/>
    </tableStyle>
    <tableStyle name="Definition of Done-style" pivot="0" count="3">
      <tableStyleElement type="headerRow" dxfId="1"/>
      <tableStyleElement type="firstRowStripe" dxfId="2"/>
      <tableStyleElement type="secondRowStripe" dxfId="3"/>
    </tableStyle>
    <tableStyle name="Documentation-style" pivot="0" count="3">
      <tableStyleElement type="headerRow" dxfId="1"/>
      <tableStyleElement type="firstRowStripe" dxfId="2"/>
      <tableStyleElement type="secondRowStripe" dxfId="3"/>
    </tableStyle>
    <tableStyle name="Bill of Materials-style" pivot="0" count="3">
      <tableStyleElement type="headerRow" dxfId="1"/>
      <tableStyleElement type="firstRowStripe" dxfId="2"/>
      <tableStyleElement type="secondRow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ables/table1.xml><?xml version="1.0" encoding="utf-8"?>
<table xmlns="http://schemas.openxmlformats.org/spreadsheetml/2006/main" id="1" name="Table_1" displayName="Table_1" ref="A1:B20" headerRowCount="1">
  <tableColumns count="2">
    <tableColumn id="1" name="Project Name"/>
    <tableColumn id="2" name="Robot Visual Perception"/>
  </tableColumns>
  <tableStyleInfo name="Project Data-style" showFirstColumn="1" showLastColumn="1" showRowStripes="1" showColumnStripes="0"/>
</table>
</file>

<file path=xl/tables/table2.xml><?xml version="1.0" encoding="utf-8"?>
<table xmlns="http://schemas.openxmlformats.org/spreadsheetml/2006/main" id="2" name="Table_2" displayName="Table_2" ref="A1:D19" headerRowCount="1">
  <tableColumns count="4">
    <tableColumn id="1" name="Last Name"/>
    <tableColumn id="2" name="First Name"/>
    <tableColumn id="3" name="GitHub User Name"/>
    <tableColumn id="4" name="Email Address"/>
  </tableColumns>
  <tableStyleInfo name="Project Team-style" showFirstColumn="1" showLastColumn="1" showRowStripes="1" showColumnStripes="0"/>
</table>
</file>

<file path=xl/tables/table3.xml><?xml version="1.0" encoding="utf-8"?>
<table xmlns="http://schemas.openxmlformats.org/spreadsheetml/2006/main" id="3" name="Table_3" displayName="Table_3" ref="A2:H21" headerRowCount="1">
  <tableColumns count="8">
    <tableColumn id="1" name="#"/>
    <tableColumn id="2" name="Meeting Day"/>
    <tableColumn id="3" name="Review"/>
    <tableColumn id="4" name="Planning"/>
    <tableColumn id="5" name="Software Developer"/>
    <tableColumn id="6" name="Release Manager"/>
    <tableColumn id="7" name="Scrum Master"/>
    <tableColumn id="8" name="Comment"/>
  </tableColumns>
  <tableStyleInfo name="Role Assignments-style" showFirstColumn="1" showLastColumn="1" showRowStripes="1" showColumnStripes="0"/>
</table>
</file>

<file path=xl/tables/table4.xml><?xml version="1.0" encoding="utf-8"?>
<table xmlns="http://schemas.openxmlformats.org/spreadsheetml/2006/main" id="4" name="Table_4" displayName="Table_4" ref="A1:B30" headerRowCount="1">
  <tableColumns count="2">
    <tableColumn id="1" name="Goals"/>
    <tableColumn id="2" name="Development of a visual perception system for robots with an accuracy of &gt;= 90%"/>
  </tableColumns>
  <tableStyleInfo name="Team Contract-style" showFirstColumn="1" showLastColumn="1" showRowStripes="1" showColumnStripes="0"/>
</table>
</file>

<file path=xl/tables/table5.xml><?xml version="1.0" encoding="utf-8"?>
<table xmlns="http://schemas.openxmlformats.org/spreadsheetml/2006/main" id="5" name="Table_5" displayName="Table_5" ref="A1:B20" headerRowCount="1">
  <tableColumns count="2">
    <tableColumn id="1" name="Term"/>
    <tableColumn id="2" name="Definition"/>
  </tableColumns>
  <tableStyleInfo name="Product Glossary-style" showFirstColumn="1" showLastColumn="1" showRowStripes="1" showColumnStripes="0"/>
</table>
</file>

<file path=xl/tables/table6.xml><?xml version="1.0" encoding="utf-8"?>
<table xmlns="http://schemas.openxmlformats.org/spreadsheetml/2006/main" id="6" name="Table_6" displayName="Table_6" ref="A1:B20" headerRowCount="1">
  <tableColumns count="2">
    <tableColumn id="1" name="Sprint #"/>
    <tableColumn id="2" name="Sprint goal"/>
  </tableColumns>
  <tableStyleInfo name="Sprint Goals-style" showFirstColumn="1" showLastColumn="1" showRowStripes="1" showColumnStripes="0"/>
</table>
</file>

<file path=xl/tables/table7.xml><?xml version="1.0" encoding="utf-8"?>
<table xmlns="http://schemas.openxmlformats.org/spreadsheetml/2006/main" id="7" name="Table_7" displayName="Table_7" ref="A1:B20" headerRowCount="1">
  <tableColumns count="2">
    <tableColumn id="1" name="Sprint #"/>
    <tableColumn id="2" name="Story Points Realized"/>
  </tableColumns>
  <tableStyleInfo name="Velocity Tracking-style" showFirstColumn="1" showLastColumn="1" showRowStripes="1" showColumnStripes="0"/>
</table>
</file>

<file path=xl/tables/table8.xml><?xml version="1.0" encoding="utf-8"?>
<table xmlns="http://schemas.openxmlformats.org/spreadsheetml/2006/main" id="8" name="Table_8" displayName="Table_8" ref="A1:G34" headerRowCount="1">
  <tableColumns count="7">
    <tableColumn id="1" name="Sprint"/>
    <tableColumn id="2" name="Goal"/>
    <tableColumn id="3" name="Feature Name"/>
    <tableColumn id="4" name="Est. size"/>
    <tableColumn id="5" name="Est. remaining"/>
    <tableColumn id="6" name="Real size"/>
    <tableColumn id="7" name="Real remaining"/>
  </tableColumns>
  <tableStyleInfo name="Mid-Project Release plan-style" showFirstColumn="1" showLastColumn="1" showRowStripes="1" showColumnStripes="0"/>
</table>
</file>

<file path=xl/tables/table9.xml><?xml version="1.0" encoding="utf-8"?>
<table xmlns="http://schemas.openxmlformats.org/spreadsheetml/2006/main" id="9" name="Table_9" displayName="Table_9" ref="A1:G34" headerRowCount="1">
  <tableColumns count="7">
    <tableColumn id="1" name="Sprint"/>
    <tableColumn id="2" name="Goal"/>
    <tableColumn id="3" name="Feature Name"/>
    <tableColumn id="4" name="Est. size"/>
    <tableColumn id="5" name="Est. remaining"/>
    <tableColumn id="6" name="Real size"/>
    <tableColumn id="7" name="Real remaining"/>
  </tableColumns>
  <tableStyleInfo name="Final Project Release plan-style" showFirstColumn="1" showLastColumn="1" showRowStripes="1" showColumnStripes="0"/>
</table>
</file>

<file path=xl/tables/table10.xml><?xml version="1.0" encoding="utf-8"?>
<table xmlns="http://schemas.openxmlformats.org/spreadsheetml/2006/main" id="10" name="Table_10" displayName="Table_10" ref="A1:D20" headerRowCount="1">
  <tableColumns count="4">
    <tableColumn id="1" name="#"/>
    <tableColumn id="2" name="Feature Definition of Done"/>
    <tableColumn id="3" name="Sprint Release Definition of Done"/>
    <tableColumn id="4" name="Project Release Definition of Done"/>
  </tableColumns>
  <tableStyleInfo name="Definition of Done-style" showFirstColumn="1" showLastColumn="1" showRowStripes="1" showColumnStripes="0"/>
</table>
</file>

<file path=xl/tables/table11.xml><?xml version="1.0" encoding="utf-8"?>
<table xmlns="http://schemas.openxmlformats.org/spreadsheetml/2006/main" id="11" name="Table_11" displayName="Table_11" ref="A1:B20" headerRowCount="1">
  <tableColumns count="2">
    <tableColumn id="1" name="Type"/>
    <tableColumn id="2" name="Link / reference"/>
  </tableColumns>
  <tableStyleInfo name="Documentation-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au.zoom-x.de/j/62836031488" TargetMode="External" Id="rId1" /><Relationship Type="http://schemas.openxmlformats.org/officeDocument/2006/relationships/hyperlink" Target="https://github.com/amosproj/amos2025ws04-robot-visual-perception" TargetMode="External" Id="rId2" /><Relationship Type="http://schemas.openxmlformats.org/officeDocument/2006/relationships/hyperlink" Target="https://github.com/orgs/amosproj/projects/92" TargetMode="External" Id="rId3" /><Relationship Type="http://schemas.openxmlformats.org/officeDocument/2006/relationships/hyperlink" Target="https://github.com/orgs/amosproj/projects/95" TargetMode="External" Id="rId4" /><Relationship Type="http://schemas.openxmlformats.org/officeDocument/2006/relationships/hyperlink" Target="https://www.shirtinator.de/s/E_eIf-ElT4iidRVnqM8J5w" TargetMode="External" Id="rId5" /><Relationship Type="http://schemas.openxmlformats.org/officeDocument/2006/relationships/hyperlink" Target="https://www.shirtinator.de/s/R0CANDdWTRCOvCohq_encA" TargetMode="External" Id="rId6" /><Relationship Type="http://schemas.openxmlformats.org/officeDocument/2006/relationships/hyperlink" Target="https://discord.gg/VDqD2Zfb" TargetMode="External" Id="rId7" /><Relationship Type="http://schemas.openxmlformats.org/officeDocument/2006/relationships/hyperlink" Target="https://happy-amos.appspot.com/" TargetMode="External" Id="rId8" /><Relationship Type="http://schemas.openxmlformats.org/officeDocument/2006/relationships/table" Target="/xl/tables/table1.xml" Id="rId9" /></Relationships>
</file>

<file path=xl/worksheets/_rels/sheet2.xml.rels><Relationships xmlns="http://schemas.openxmlformats.org/package/2006/relationships"><Relationship Type="http://schemas.openxmlformats.org/officeDocument/2006/relationships/hyperlink" Target="http://anuun.ch/" TargetMode="External" Id="rId1" /><Relationship Type="http://schemas.openxmlformats.org/officeDocument/2006/relationships/table" Target="/xl/tables/table2.xml" Id="rId2"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0" summaryRight="0"/>
    <pageSetUpPr fitToPage="1"/>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14" min="1" max="1"/>
    <col width="100.13" customWidth="1" style="114" min="2" max="2"/>
  </cols>
  <sheetData>
    <row r="1">
      <c r="A1" s="40" t="inlineStr">
        <is>
          <t>Project Name</t>
        </is>
      </c>
      <c r="B1" s="35" t="inlineStr">
        <is>
          <t>Robot Visual Perception</t>
        </is>
      </c>
    </row>
    <row r="2">
      <c r="A2" s="40" t="n"/>
      <c r="B2" s="35" t="n"/>
    </row>
    <row r="3">
      <c r="A3" s="40" t="inlineStr">
        <is>
          <t>Online team meeting</t>
        </is>
      </c>
      <c r="B3" s="5" t="inlineStr">
        <is>
          <t>https://fau.zoom-x.de/j/62836031488</t>
        </is>
      </c>
    </row>
    <row r="4">
      <c r="A4" s="40" t="n"/>
      <c r="B4" s="35" t="n"/>
    </row>
    <row r="5">
      <c r="A5" s="40" t="inlineStr">
        <is>
          <t>Production system (if any)</t>
        </is>
      </c>
      <c r="B5" s="35" t="inlineStr">
        <is>
          <t>Service Provided (later in the Project)</t>
        </is>
      </c>
    </row>
    <row r="6">
      <c r="A6" s="40" t="inlineStr">
        <is>
          <t>Test system (if any)</t>
        </is>
      </c>
      <c r="B6" s="35" t="inlineStr">
        <is>
          <t>Local Webcam</t>
        </is>
      </c>
    </row>
    <row r="7">
      <c r="A7" s="40" t="n"/>
      <c r="B7" s="35" t="n"/>
    </row>
    <row r="8">
      <c r="A8" s="40" t="inlineStr">
        <is>
          <t>GitHub repository</t>
        </is>
      </c>
      <c r="B8" s="6" t="inlineStr">
        <is>
          <t>https://github.com/amosproj/amos2025ws04-robot-visual-perception</t>
        </is>
      </c>
    </row>
    <row r="9">
      <c r="A9" s="40" t="inlineStr">
        <is>
          <t>GitHub feature board</t>
        </is>
      </c>
      <c r="B9" s="6" t="inlineStr">
        <is>
          <t>https://github.com/orgs/amosproj/projects/92</t>
        </is>
      </c>
    </row>
    <row r="10">
      <c r="A10" s="40" t="inlineStr">
        <is>
          <t>GitHub imp-squared backlog</t>
        </is>
      </c>
      <c r="B10" s="6" t="inlineStr">
        <is>
          <t>https://github.com/orgs/amosproj/projects/95</t>
        </is>
      </c>
    </row>
    <row r="11">
      <c r="A11" s="40" t="n"/>
      <c r="B11" s="35" t="n"/>
    </row>
    <row r="12">
      <c r="A12" s="40" t="inlineStr">
        <is>
          <t>Team T-shirt (white)</t>
        </is>
      </c>
      <c r="B12" s="6" t="inlineStr">
        <is>
          <t>https://www.shirtinator.de/s/E_eIf-ElT4iidRVnqM8J5w</t>
        </is>
      </c>
    </row>
    <row r="13">
      <c r="A13" s="40" t="inlineStr">
        <is>
          <t>Team T-shirt (black)</t>
        </is>
      </c>
      <c r="B13" s="6" t="inlineStr">
        <is>
          <t>https://www.shirtinator.de/s/R0CANDdWTRCOvCohq_encA</t>
        </is>
      </c>
    </row>
    <row r="14">
      <c r="A14" s="40" t="n"/>
      <c r="B14" s="35" t="n"/>
    </row>
    <row r="15">
      <c r="A15" s="40" t="inlineStr">
        <is>
          <t>Additional materials</t>
        </is>
      </c>
      <c r="B15" s="6" t="inlineStr">
        <is>
          <t>https://discord.gg/VDqD2Zfb</t>
        </is>
      </c>
    </row>
    <row r="16">
      <c r="A16" s="40" t="n"/>
      <c r="B16" s="35" t="n"/>
    </row>
    <row r="17">
      <c r="A17" s="40" t="inlineStr">
        <is>
          <t>Team maling list</t>
        </is>
      </c>
      <c r="B17" s="35" t="inlineStr">
        <is>
          <t>oss-amos-proj4@lists.fau.de</t>
        </is>
      </c>
    </row>
    <row r="18">
      <c r="A18" s="40" t="n"/>
      <c r="B18" s="35" t="n"/>
    </row>
    <row r="19">
      <c r="A19" s="40" t="n"/>
      <c r="B19" s="7" t="inlineStr">
        <is>
          <t>https://happy-amos.appspot.com/</t>
        </is>
      </c>
    </row>
    <row r="20">
      <c r="A20" s="40" t="n"/>
      <c r="B20" s="35" t="inlineStr">
        <is>
          <t>Please use our mailing list for written communication. Only CC teachers (university) and coaches on specific topics, as the mailing lists are very long.</t>
        </is>
      </c>
    </row>
  </sheetData>
  <hyperlinks>
    <hyperlink xmlns:r="http://schemas.openxmlformats.org/officeDocument/2006/relationships" ref="B3"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2" r:id="rId5"/>
    <hyperlink xmlns:r="http://schemas.openxmlformats.org/officeDocument/2006/relationships" ref="B13" r:id="rId6"/>
    <hyperlink xmlns:r="http://schemas.openxmlformats.org/officeDocument/2006/relationships" ref="B15" r:id="rId7"/>
    <hyperlink xmlns:r="http://schemas.openxmlformats.org/officeDocument/2006/relationships" ref="B19" r:id="rId8"/>
  </hyperlinks>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9"/>
  </tableParts>
</worksheet>
</file>

<file path=xl/worksheets/sheet2.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8" defaultColWidth="12.63" defaultRowHeight="12.75" customHeight="1"/>
  <cols>
    <col width="31.38" customWidth="1" style="114" min="1" max="4"/>
  </cols>
  <sheetData>
    <row r="1">
      <c r="A1" s="13" t="inlineStr">
        <is>
          <t>Last Name</t>
        </is>
      </c>
      <c r="B1" s="13" t="inlineStr">
        <is>
          <t>First Name</t>
        </is>
      </c>
      <c r="C1" s="13" t="inlineStr">
        <is>
          <t>GitHub User Name</t>
        </is>
      </c>
      <c r="D1" s="13" t="inlineStr">
        <is>
          <t>Email Address</t>
        </is>
      </c>
    </row>
    <row r="2">
      <c r="A2" s="55" t="inlineStr">
        <is>
          <t>Hilgers</t>
        </is>
      </c>
      <c r="B2" s="55" t="inlineStr">
        <is>
          <t>Felix</t>
        </is>
      </c>
      <c r="C2" s="55" t="inlineStr">
        <is>
          <t>fhilgers</t>
        </is>
      </c>
      <c r="D2" s="55" t="inlineStr">
        <is>
          <t>felix.hilgers@fau.de</t>
        </is>
      </c>
    </row>
    <row r="3">
      <c r="A3" s="55" t="inlineStr">
        <is>
          <t>Samdani</t>
        </is>
      </c>
      <c r="B3" s="55" t="inlineStr">
        <is>
          <t>Sarib</t>
        </is>
      </c>
      <c r="C3" s="55" t="inlineStr">
        <is>
          <t>saribx</t>
        </is>
      </c>
      <c r="D3" s="55" t="inlineStr">
        <is>
          <t>saribstudent@gmail.com</t>
        </is>
      </c>
    </row>
    <row r="4">
      <c r="A4" s="55" t="inlineStr">
        <is>
          <t>Chinbat</t>
        </is>
      </c>
      <c r="B4" s="55" t="inlineStr">
        <is>
          <t>Anuun</t>
        </is>
      </c>
      <c r="C4" s="55" t="inlineStr">
        <is>
          <t>anuunchin</t>
        </is>
      </c>
      <c r="D4" s="10" t="inlineStr">
        <is>
          <t>anuun.ch@gmail.com</t>
        </is>
      </c>
    </row>
    <row r="5">
      <c r="A5" s="55" t="inlineStr">
        <is>
          <t>Goldschmidt</t>
        </is>
      </c>
      <c r="B5" s="55" t="inlineStr">
        <is>
          <t>Georgina</t>
        </is>
      </c>
      <c r="C5" s="55" t="inlineStr">
        <is>
          <t>bu31punu</t>
        </is>
      </c>
      <c r="D5" s="55" t="inlineStr">
        <is>
          <t>dzsini.lost@gmail.com</t>
        </is>
      </c>
    </row>
    <row r="6">
      <c r="A6" s="55" t="inlineStr">
        <is>
          <t>Zinn</t>
        </is>
      </c>
      <c r="B6" s="55" t="inlineStr">
        <is>
          <t>Benedikt</t>
        </is>
      </c>
      <c r="C6" s="55" t="inlineStr">
        <is>
          <t>BenediktZinn</t>
        </is>
      </c>
      <c r="D6" s="55" t="inlineStr">
        <is>
          <t>benedikt.wh.zinn@gmail.com</t>
        </is>
      </c>
    </row>
    <row r="7">
      <c r="A7" s="55" t="inlineStr">
        <is>
          <t>Badura</t>
        </is>
      </c>
      <c r="B7" s="55" t="inlineStr">
        <is>
          <t>Emil</t>
        </is>
      </c>
      <c r="C7" s="55" t="inlineStr">
        <is>
          <t>Tenebrae311</t>
        </is>
      </c>
      <c r="D7" s="55" t="inlineStr">
        <is>
          <t>badura@tu-berlin.de</t>
        </is>
      </c>
    </row>
    <row r="8">
      <c r="A8" s="55" t="inlineStr">
        <is>
          <t>Assenbaum</t>
        </is>
      </c>
      <c r="B8" s="55" t="inlineStr">
        <is>
          <t>Paul</t>
        </is>
      </c>
      <c r="C8" s="55" t="inlineStr">
        <is>
          <t>Paul2607</t>
        </is>
      </c>
      <c r="D8" s="55" t="inlineStr">
        <is>
          <t>paul.assenbaum@fau.de</t>
        </is>
      </c>
    </row>
    <row r="9">
      <c r="A9" s="55" t="inlineStr">
        <is>
          <t>Mantsch</t>
        </is>
      </c>
      <c r="B9" s="55" t="inlineStr">
        <is>
          <t>Christoph</t>
        </is>
      </c>
      <c r="C9" s="55" t="inlineStr">
        <is>
          <t>Christoph-Mantsch</t>
        </is>
      </c>
      <c r="D9" s="55" t="inlineStr">
        <is>
          <t>christoph.cm.mantsch@fau.de</t>
        </is>
      </c>
    </row>
    <row r="10">
      <c r="A10" s="55" t="inlineStr">
        <is>
          <t>Asadi</t>
        </is>
      </c>
      <c r="B10" s="55" t="inlineStr">
        <is>
          <t>Zohreh</t>
        </is>
      </c>
      <c r="C10" s="55" t="inlineStr">
        <is>
          <t>zohrehasadi00</t>
        </is>
      </c>
      <c r="D10" s="55" t="inlineStr">
        <is>
          <t>z.asadi@campus.tu-berlin.de</t>
        </is>
      </c>
    </row>
    <row r="11">
      <c r="A11" s="55" t="n"/>
      <c r="B11" s="55" t="n"/>
      <c r="C11" s="55" t="n"/>
      <c r="D11" s="55" t="n"/>
    </row>
    <row r="12">
      <c r="A12" s="13" t="n"/>
      <c r="B12" s="13" t="n"/>
      <c r="C12" s="13" t="n"/>
      <c r="D12" s="13" t="n"/>
    </row>
    <row r="13">
      <c r="A13" s="55" t="n"/>
      <c r="B13" s="55" t="n"/>
      <c r="C13" s="55" t="n"/>
      <c r="D13" s="55" t="n"/>
    </row>
    <row r="14">
      <c r="A14" s="55" t="n"/>
      <c r="B14" s="55" t="n"/>
      <c r="C14" s="55" t="n"/>
      <c r="D14" s="55" t="n"/>
    </row>
    <row r="15">
      <c r="A15" s="55" t="n"/>
      <c r="B15" s="55" t="n"/>
      <c r="C15" s="55" t="n"/>
      <c r="D15" s="55" t="n"/>
    </row>
    <row r="16">
      <c r="A16" s="55" t="n"/>
      <c r="B16" s="55" t="n"/>
      <c r="C16" s="55" t="n"/>
      <c r="D16" s="55" t="n"/>
    </row>
    <row r="17">
      <c r="A17" s="55" t="n"/>
      <c r="B17" s="55" t="n"/>
      <c r="C17" s="55" t="n"/>
      <c r="D17" s="55" t="n"/>
    </row>
    <row r="18">
      <c r="A18" s="55" t="n"/>
      <c r="B18" s="55" t="n"/>
      <c r="C18" s="55" t="n"/>
      <c r="D18" s="55" t="n"/>
    </row>
    <row r="19">
      <c r="A19" s="55" t="n"/>
      <c r="B19" s="55" t="n"/>
      <c r="C19" s="55" t="n"/>
      <c r="D19" s="55" t="n"/>
    </row>
  </sheetData>
  <hyperlinks>
    <hyperlink xmlns:r="http://schemas.openxmlformats.org/officeDocument/2006/relationships" ref="D4"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0" summaryRight="0"/>
    <pageSetUpPr fitToPage="1"/>
  </sheetPr>
  <dimension ref="A1:H21"/>
  <sheetViews>
    <sheetView workbookViewId="0">
      <pane ySplit="2" topLeftCell="A3" activePane="bottomLeft" state="frozen"/>
      <selection pane="bottomLeft" activeCell="B4" sqref="B4"/>
    </sheetView>
  </sheetViews>
  <sheetFormatPr baseColWidth="8" defaultColWidth="12.63" defaultRowHeight="12.75" customHeight="1"/>
  <cols>
    <col width="5.5" customWidth="1" style="114" min="1" max="1"/>
    <col width="12.63" customWidth="1" style="114" min="2" max="2"/>
    <col width="18.88" customWidth="1" style="114" min="3" max="7"/>
    <col width="50.13" customWidth="1" style="114" min="8" max="8"/>
  </cols>
  <sheetData>
    <row r="1">
      <c r="A1" s="15" t="n"/>
      <c r="B1" s="15" t="n"/>
      <c r="C1" s="15" t="inlineStr">
        <is>
          <t>Product Owner</t>
        </is>
      </c>
      <c r="E1" s="15" t="n"/>
      <c r="F1" s="15" t="n"/>
      <c r="G1" s="15" t="n"/>
      <c r="H1" s="15" t="n"/>
    </row>
    <row r="2">
      <c r="A2" s="17" t="inlineStr">
        <is>
          <t>#</t>
        </is>
      </c>
      <c r="B2" s="17" t="inlineStr">
        <is>
          <t>Meeting Day</t>
        </is>
      </c>
      <c r="C2" s="17" t="inlineStr">
        <is>
          <t>Review</t>
        </is>
      </c>
      <c r="D2" s="17" t="inlineStr">
        <is>
          <t>Planning</t>
        </is>
      </c>
      <c r="E2" s="17" t="inlineStr">
        <is>
          <t>Software Developer</t>
        </is>
      </c>
      <c r="F2" s="17" t="inlineStr">
        <is>
          <t>Release Manager</t>
        </is>
      </c>
      <c r="G2" s="17" t="inlineStr">
        <is>
          <t>Scrum Master</t>
        </is>
      </c>
      <c r="H2" s="17" t="inlineStr">
        <is>
          <t>Comment</t>
        </is>
      </c>
    </row>
    <row r="3">
      <c r="A3" s="18" t="n">
        <v>1</v>
      </c>
      <c r="B3" s="21" t="n">
        <v>45952</v>
      </c>
      <c r="C3" s="55" t="inlineStr">
        <is>
          <t>Felix Hilgers</t>
        </is>
      </c>
      <c r="D3" s="55" t="inlineStr">
        <is>
          <t>Benedikt Zinn</t>
        </is>
      </c>
      <c r="E3" s="55" t="inlineStr">
        <is>
          <t>Everyone else</t>
        </is>
      </c>
      <c r="F3" s="55" t="inlineStr">
        <is>
          <t>Paul Assenbaum</t>
        </is>
      </c>
      <c r="G3" s="55" t="inlineStr">
        <is>
          <t>Georgina Goldschmidt</t>
        </is>
      </c>
      <c r="H3" s="26" t="inlineStr">
        <is>
          <t>(Tuesday 21. Discord for Release process example)</t>
        </is>
      </c>
    </row>
    <row r="4">
      <c r="A4" s="18" t="n">
        <v>2</v>
      </c>
      <c r="B4" s="21">
        <f>B3+7</f>
        <v/>
      </c>
      <c r="C4" s="55" t="inlineStr">
        <is>
          <t>Benedikt Zinn</t>
        </is>
      </c>
      <c r="D4" s="55" t="inlineStr">
        <is>
          <t>Felix Hilgers</t>
        </is>
      </c>
      <c r="E4" s="55" t="inlineStr">
        <is>
          <t>Everyone else</t>
        </is>
      </c>
      <c r="F4" s="55" t="inlineStr">
        <is>
          <t>Anuun Chinbat</t>
        </is>
      </c>
      <c r="G4" s="55" t="inlineStr">
        <is>
          <t>Georgina Goldschmidt</t>
        </is>
      </c>
      <c r="H4" s="25" t="n"/>
    </row>
    <row r="5">
      <c r="A5" s="18" t="n">
        <v>3</v>
      </c>
      <c r="B5" s="21">
        <f>B4+7</f>
        <v/>
      </c>
      <c r="C5" s="55" t="inlineStr">
        <is>
          <t>Benedikt Zinn</t>
        </is>
      </c>
      <c r="D5" s="55" t="inlineStr">
        <is>
          <t>Felix Hilgers</t>
        </is>
      </c>
      <c r="E5" s="55" t="inlineStr">
        <is>
          <t>Everyone else</t>
        </is>
      </c>
      <c r="F5" s="55" t="inlineStr">
        <is>
          <t>Sarib Samdani</t>
        </is>
      </c>
      <c r="G5" s="55" t="inlineStr">
        <is>
          <t>Georgina Goldschmidt</t>
        </is>
      </c>
      <c r="H5" s="25" t="n"/>
    </row>
    <row r="6">
      <c r="A6" s="18" t="n">
        <v>4</v>
      </c>
      <c r="B6" s="21">
        <f>B5+7</f>
        <v/>
      </c>
      <c r="C6" s="55" t="inlineStr">
        <is>
          <t>Felix Hilgers</t>
        </is>
      </c>
      <c r="D6" s="55" t="inlineStr">
        <is>
          <t>Benedikt Zinn</t>
        </is>
      </c>
      <c r="E6" s="55" t="inlineStr">
        <is>
          <t>Everyone else</t>
        </is>
      </c>
      <c r="F6" s="55" t="inlineStr">
        <is>
          <t>Sarib Samdani</t>
        </is>
      </c>
      <c r="G6" s="55" t="inlineStr">
        <is>
          <t>Georgina Goldschmidt</t>
        </is>
      </c>
      <c r="H6" s="25" t="n"/>
    </row>
    <row r="7">
      <c r="A7" s="18" t="n">
        <v>5</v>
      </c>
      <c r="B7" s="21">
        <f>B6+7</f>
        <v/>
      </c>
      <c r="C7" s="55" t="inlineStr">
        <is>
          <t>Felix Hilgers</t>
        </is>
      </c>
      <c r="D7" s="55" t="inlineStr">
        <is>
          <t>Benedikt Zinn</t>
        </is>
      </c>
      <c r="E7" s="55" t="inlineStr">
        <is>
          <t>Everyone else</t>
        </is>
      </c>
      <c r="F7" s="55" t="inlineStr">
        <is>
          <t>Anuun Chinbat</t>
        </is>
      </c>
      <c r="G7" s="55" t="inlineStr">
        <is>
          <t>Georgina Goldschmidt</t>
        </is>
      </c>
      <c r="H7" s="25" t="n"/>
    </row>
    <row r="8">
      <c r="A8" s="18" t="n">
        <v>6</v>
      </c>
      <c r="B8" s="21">
        <f>B7+7</f>
        <v/>
      </c>
      <c r="C8" s="55" t="inlineStr">
        <is>
          <t>Benedikt Zinn</t>
        </is>
      </c>
      <c r="D8" s="55" t="inlineStr">
        <is>
          <t>Felix Hilgers</t>
        </is>
      </c>
      <c r="E8" s="55" t="inlineStr">
        <is>
          <t>Everyone else</t>
        </is>
      </c>
      <c r="F8" s="55" t="inlineStr">
        <is>
          <t>Emil Badura</t>
        </is>
      </c>
      <c r="G8" s="55" t="inlineStr">
        <is>
          <t>Georgina Goldschmidt</t>
        </is>
      </c>
      <c r="H8" s="25" t="n"/>
    </row>
    <row r="9">
      <c r="A9" s="18" t="n">
        <v>7</v>
      </c>
      <c r="B9" s="21">
        <f>B8+7</f>
        <v/>
      </c>
      <c r="C9" s="55" t="inlineStr">
        <is>
          <t>Felix Hilgers</t>
        </is>
      </c>
      <c r="D9" s="55" t="inlineStr">
        <is>
          <t>Benedikt Zinn</t>
        </is>
      </c>
      <c r="E9" s="55" t="inlineStr">
        <is>
          <t>Everyone else</t>
        </is>
      </c>
      <c r="F9" s="55" t="inlineStr">
        <is>
          <t>Emil Badura</t>
        </is>
      </c>
      <c r="G9" s="55" t="inlineStr">
        <is>
          <t>Georgina Goldschmidt</t>
        </is>
      </c>
      <c r="H9" s="26" t="inlineStr">
        <is>
          <t>Mid-term due</t>
        </is>
      </c>
    </row>
    <row r="10">
      <c r="A10" s="18" t="n">
        <v>8</v>
      </c>
      <c r="B10" s="21">
        <f>B9+7</f>
        <v/>
      </c>
      <c r="C10" s="55" t="inlineStr">
        <is>
          <t>Benedikt Zinn</t>
        </is>
      </c>
      <c r="D10" s="55" t="inlineStr">
        <is>
          <t>Felix Hilgers</t>
        </is>
      </c>
      <c r="E10" s="55" t="inlineStr">
        <is>
          <t>Everyone else</t>
        </is>
      </c>
      <c r="F10" s="55" t="inlineStr">
        <is>
          <t>Paul Assenbaum</t>
        </is>
      </c>
      <c r="G10" s="55" t="inlineStr">
        <is>
          <t>Georgina Goldschmidt</t>
        </is>
      </c>
      <c r="H10" s="25" t="n"/>
    </row>
    <row r="11">
      <c r="A11" s="18" t="n">
        <v>9</v>
      </c>
      <c r="B11" s="21">
        <f>B10+7</f>
        <v/>
      </c>
      <c r="C11" s="55" t="inlineStr">
        <is>
          <t>Felix Hilgers</t>
        </is>
      </c>
      <c r="D11" s="55" t="inlineStr">
        <is>
          <t>Benedikt Zinn</t>
        </is>
      </c>
      <c r="E11" s="55" t="inlineStr">
        <is>
          <t>Everyone else</t>
        </is>
      </c>
      <c r="F11" s="55" t="inlineStr">
        <is>
          <t>Christoph Mantsch</t>
        </is>
      </c>
      <c r="G11" s="55" t="inlineStr">
        <is>
          <t>Georgina Goldschmidt</t>
        </is>
      </c>
      <c r="H11" s="25" t="n"/>
    </row>
    <row r="12">
      <c r="A12" s="18" t="n">
        <v>10</v>
      </c>
      <c r="B12" s="21" t="n">
        <v>44937</v>
      </c>
      <c r="C12" s="55" t="inlineStr">
        <is>
          <t>Benedikt Zinn</t>
        </is>
      </c>
      <c r="D12" s="55" t="inlineStr">
        <is>
          <t>Felix Hilgers</t>
        </is>
      </c>
      <c r="E12" s="55" t="inlineStr">
        <is>
          <t>Everyone else</t>
        </is>
      </c>
      <c r="F12" s="55" t="inlineStr">
        <is>
          <t>Christoph Mantsch</t>
        </is>
      </c>
      <c r="G12" s="55" t="inlineStr">
        <is>
          <t>Georgina Goldschmidt</t>
        </is>
      </c>
      <c r="H12" s="25" t="n"/>
    </row>
    <row r="13">
      <c r="A13" s="18" t="n">
        <v>11</v>
      </c>
      <c r="B13" s="21">
        <f>B12+7</f>
        <v/>
      </c>
      <c r="C13" s="55" t="inlineStr">
        <is>
          <t>Felix Hilgers</t>
        </is>
      </c>
      <c r="D13" s="55" t="inlineStr">
        <is>
          <t>Benedikt Zinn</t>
        </is>
      </c>
      <c r="E13" s="55" t="inlineStr">
        <is>
          <t>Everyone else</t>
        </is>
      </c>
      <c r="F13" s="55" t="inlineStr">
        <is>
          <t>Zohreh Asadi</t>
        </is>
      </c>
      <c r="G13" s="55" t="inlineStr">
        <is>
          <t>Georgina Goldschmidt</t>
        </is>
      </c>
      <c r="H13" s="25" t="n"/>
    </row>
    <row r="14">
      <c r="A14" s="18" t="n">
        <v>12</v>
      </c>
      <c r="B14" s="21">
        <f>B13+7</f>
        <v/>
      </c>
      <c r="C14" s="55" t="inlineStr">
        <is>
          <t>Benedikt Zinn</t>
        </is>
      </c>
      <c r="D14" s="55" t="inlineStr">
        <is>
          <t>Felix Hilgers</t>
        </is>
      </c>
      <c r="E14" s="55" t="inlineStr">
        <is>
          <t>Everyone else</t>
        </is>
      </c>
      <c r="F14" s="55" t="inlineStr">
        <is>
          <t>Zohreh Asadi</t>
        </is>
      </c>
      <c r="G14" s="55" t="inlineStr">
        <is>
          <t>Georgina Goldschmidt</t>
        </is>
      </c>
      <c r="H14" s="25" t="n"/>
    </row>
    <row r="15">
      <c r="A15" s="18" t="n">
        <v>13</v>
      </c>
      <c r="B15" s="21">
        <f>B14+7</f>
        <v/>
      </c>
      <c r="C15" s="55" t="inlineStr">
        <is>
          <t>Felix Hilgers</t>
        </is>
      </c>
      <c r="D15" s="55" t="inlineStr">
        <is>
          <t>Benedikt Zinn</t>
        </is>
      </c>
      <c r="E15" s="55" t="inlineStr">
        <is>
          <t>Everyone else</t>
        </is>
      </c>
      <c r="F15" s="55" t="n"/>
      <c r="G15" s="55" t="inlineStr">
        <is>
          <t>Georgina Goldschmidt</t>
        </is>
      </c>
      <c r="H15" s="25" t="n"/>
    </row>
    <row r="16">
      <c r="A16" s="18" t="n">
        <v>14</v>
      </c>
      <c r="B16" s="21">
        <f>B15+7</f>
        <v/>
      </c>
      <c r="C16" s="55" t="inlineStr">
        <is>
          <t>Benedikt Zinn</t>
        </is>
      </c>
      <c r="D16" s="55" t="inlineStr">
        <is>
          <t>Felix Hilgers</t>
        </is>
      </c>
      <c r="E16" s="55" t="inlineStr">
        <is>
          <t>Everyone else</t>
        </is>
      </c>
      <c r="F16" s="55" t="n"/>
      <c r="G16" s="55" t="inlineStr">
        <is>
          <t>Georgina Goldschmidt</t>
        </is>
      </c>
      <c r="H16" s="26" t="inlineStr">
        <is>
          <t>Demo day!</t>
        </is>
      </c>
    </row>
    <row r="17">
      <c r="A17" s="18" t="n">
        <v>15</v>
      </c>
      <c r="B17" s="21">
        <f>B16+7</f>
        <v/>
      </c>
      <c r="C17" s="55" t="inlineStr">
        <is>
          <t>Felix Hilgers</t>
        </is>
      </c>
      <c r="D17" s="55" t="inlineStr">
        <is>
          <t>Benedikt Zinn</t>
        </is>
      </c>
      <c r="E17" s="55" t="inlineStr">
        <is>
          <t>Everyone else</t>
        </is>
      </c>
      <c r="F17" s="55" t="n"/>
      <c r="G17" s="55" t="inlineStr">
        <is>
          <t>Georgina Goldschmidt</t>
        </is>
      </c>
      <c r="H17" s="26" t="inlineStr">
        <is>
          <t>Retrospective</t>
        </is>
      </c>
    </row>
    <row r="18">
      <c r="A18" s="18" t="n"/>
      <c r="B18" s="23" t="n"/>
      <c r="C18" s="55" t="n"/>
      <c r="D18" s="55" t="n"/>
      <c r="E18" s="55" t="n"/>
      <c r="F18" s="55" t="n"/>
      <c r="G18" s="55" t="n"/>
      <c r="H18" s="25" t="n"/>
    </row>
    <row r="19">
      <c r="A19" s="26" t="inlineStr">
        <is>
          <t>Product owners, software developers, and Scurm Master are set and ideally don't change over time; the critical part is the Release Manager role you need to define here</t>
        </is>
      </c>
      <c r="B19" s="25" t="n"/>
      <c r="C19" s="26" t="n"/>
      <c r="D19" s="26" t="n"/>
      <c r="E19" s="26" t="n"/>
      <c r="F19" s="26" t="n"/>
      <c r="G19" s="26" t="n"/>
      <c r="H19" s="25" t="n"/>
    </row>
    <row r="20">
      <c r="A20" s="26" t="n"/>
      <c r="B20" s="23" t="n"/>
      <c r="C20" s="55" t="n"/>
      <c r="D20" s="55" t="n"/>
      <c r="E20" s="55" t="n"/>
      <c r="F20" s="55" t="n"/>
      <c r="G20" s="55" t="n"/>
      <c r="H20" s="25" t="n"/>
    </row>
    <row r="21">
      <c r="A21" s="18" t="n"/>
      <c r="B21" s="23" t="n"/>
      <c r="C21" s="55" t="n"/>
      <c r="D21" s="55" t="n"/>
      <c r="E21" s="55" t="n"/>
      <c r="F21" s="55" t="n"/>
      <c r="G21" s="55" t="n"/>
      <c r="H21" s="25" t="n"/>
    </row>
  </sheetData>
  <mergeCells count="1">
    <mergeCell ref="C1:D1"/>
  </mergeCells>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fitToPage="1"/>
  </sheetPr>
  <dimension ref="A1:B29"/>
  <sheetViews>
    <sheetView workbookViewId="0">
      <selection activeCell="A1" sqref="A1"/>
    </sheetView>
  </sheetViews>
  <sheetFormatPr baseColWidth="8" defaultColWidth="12.63" defaultRowHeight="12.75" customHeight="1"/>
  <cols>
    <col width="25.13" customWidth="1" style="114" min="1" max="1"/>
    <col width="100.13" customWidth="1" style="114" min="2" max="2"/>
  </cols>
  <sheetData>
    <row r="1">
      <c r="A1" s="33" t="inlineStr">
        <is>
          <t>Goals</t>
        </is>
      </c>
      <c r="B1" s="76" t="inlineStr">
        <is>
          <t>Development of a visual perception system for robots with an accuracy of &gt;= 90%</t>
        </is>
      </c>
    </row>
    <row r="2">
      <c r="A2" s="30" t="n"/>
      <c r="B2" s="30" t="n"/>
    </row>
    <row r="3">
      <c r="A3" s="33" t="inlineStr">
        <is>
          <t>Meeting norms</t>
        </is>
      </c>
      <c r="B3" s="76" t="inlineStr">
        <is>
          <t xml:space="preserve">Zoom-Meetings in the meeting room of the university. 
Joining the meeting is mandatory, with exceptions (like sickness, etc.).
As an exception, showing up to 10 minutes late is fine if the team is informed via discord.
Happiness Index: has to be completed at the end of the meeting (amos happy).
Stand-up-mails: containing -&gt; things done, problems encountered, things up next.
 -&gt; For SDs: min 2x per week
 -&gt; For POs: min 1x per week
</t>
        </is>
      </c>
    </row>
    <row r="4">
      <c r="A4" s="30" t="n"/>
      <c r="B4" s="30" t="n"/>
    </row>
    <row r="5">
      <c r="A5" s="33" t="inlineStr">
        <is>
          <t>Working norms</t>
        </is>
      </c>
      <c r="B5" s="76" t="inlineStr">
        <is>
          <t>Issues on Github in the “Feature board” project of the repository.
Definition of Done: If specified in the issue that the feature has to be tested, tests have to be written for that feature, documented (in code or later in the wiki)
Git-branches:
The latest commit on the main-branch has to be tagged.
Only 2 “in progress” tickets per person at one time.</t>
        </is>
      </c>
    </row>
    <row r="6">
      <c r="A6" s="30" t="n"/>
      <c r="B6" s="30" t="n"/>
    </row>
    <row r="7">
      <c r="A7" s="33" t="inlineStr">
        <is>
          <t>Coordination norms</t>
        </is>
      </c>
      <c r="B7" s="76" t="inlineStr">
        <is>
          <t>Developers can create issues but not put them onto the “Feature board”.
If blocked by a different task, discuss it as soon as possible.
Communication should happen via Discord &amp; mail. 
Criticism should be constructive. Language should be respectful at all times, both verbal and written communication.</t>
        </is>
      </c>
    </row>
    <row r="8">
      <c r="A8" s="30" t="n"/>
      <c r="B8" s="30" t="n"/>
    </row>
    <row r="9">
      <c r="A9" s="33" t="inlineStr">
        <is>
          <t>Communication norms</t>
        </is>
      </c>
      <c r="B9" s="76" t="inlineStr">
        <is>
          <t xml:space="preserve">Developers can create issues but not put them onto the “Feature board”.
If blocked by a different task, discuss it as soon as possible.
Communication should happen via Discord &amp; mail. 
Criticism should be constructive. Language should be respectful at all times, both verbal and written communication.
</t>
        </is>
      </c>
    </row>
    <row r="10">
      <c r="A10" s="30" t="n"/>
      <c r="B10" s="30" t="n"/>
    </row>
    <row r="11">
      <c r="A11" s="33" t="inlineStr">
        <is>
          <t>Consideration norms</t>
        </is>
      </c>
      <c r="B11" s="76" t="n"/>
    </row>
    <row r="12">
      <c r="A12" s="30" t="n"/>
      <c r="B12" s="30" t="n"/>
    </row>
    <row r="13">
      <c r="A13" s="33" t="inlineStr">
        <is>
          <t>Cont. improvement norms</t>
        </is>
      </c>
      <c r="B13" s="76" t="n"/>
    </row>
    <row r="14">
      <c r="A14" s="30" t="n"/>
      <c r="B14" s="30" t="n"/>
    </row>
    <row r="15">
      <c r="A15" s="33" t="inlineStr">
        <is>
          <t>Rewards</t>
        </is>
      </c>
      <c r="B15" s="76" t="inlineStr">
        <is>
          <t>Online coffee or lunch meet at some point.</t>
        </is>
      </c>
    </row>
    <row r="16">
      <c r="A16" s="30" t="n"/>
      <c r="B16" s="30" t="n"/>
    </row>
    <row r="17">
      <c r="A17" s="33" t="inlineStr">
        <is>
          <t>Sanctions</t>
        </is>
      </c>
      <c r="B17" s="76" t="inlineStr">
        <is>
          <t>Document absence. Repeated absence is addressed with the missing person directly but will later be escalated to professors.</t>
        </is>
      </c>
    </row>
    <row r="18">
      <c r="A18" s="30" t="n"/>
      <c r="B18" s="30" t="n"/>
    </row>
    <row r="19">
      <c r="A19" s="33" t="inlineStr">
        <is>
          <t>Signatures</t>
        </is>
      </c>
      <c r="B19" s="33" t="n"/>
    </row>
    <row r="21">
      <c r="A21" s="35" t="inlineStr">
        <is>
          <t>Scrum Master</t>
        </is>
      </c>
      <c r="B21" s="35" t="inlineStr">
        <is>
          <t>Georgina Goldschmidt</t>
        </is>
      </c>
    </row>
    <row r="22">
      <c r="A22" s="35" t="inlineStr">
        <is>
          <t>Product owner</t>
        </is>
      </c>
      <c r="B22" s="35" t="inlineStr">
        <is>
          <t>Felix Hilgers</t>
        </is>
      </c>
    </row>
    <row r="23">
      <c r="A23" s="35" t="inlineStr">
        <is>
          <t>Product owner</t>
        </is>
      </c>
      <c r="B23" s="35" t="inlineStr">
        <is>
          <t>Benedikt Zinn</t>
        </is>
      </c>
    </row>
    <row r="24">
      <c r="A24" s="35" t="inlineStr">
        <is>
          <t>Software developer</t>
        </is>
      </c>
      <c r="B24" s="35" t="inlineStr">
        <is>
          <t>Sarib Samdani</t>
        </is>
      </c>
    </row>
    <row r="25">
      <c r="A25" s="35" t="inlineStr">
        <is>
          <t>Software developer</t>
        </is>
      </c>
      <c r="B25" s="35" t="inlineStr">
        <is>
          <t>Emil Badura</t>
        </is>
      </c>
    </row>
    <row r="26">
      <c r="A26" s="35" t="inlineStr">
        <is>
          <t>Software developer</t>
        </is>
      </c>
      <c r="B26" s="35" t="inlineStr">
        <is>
          <t>Anuun Chinbat</t>
        </is>
      </c>
    </row>
    <row r="27">
      <c r="A27" s="35" t="inlineStr">
        <is>
          <t>Software developer</t>
        </is>
      </c>
      <c r="B27" s="35" t="inlineStr">
        <is>
          <t>Paul Assenbaum</t>
        </is>
      </c>
    </row>
    <row r="28">
      <c r="A28" s="35" t="inlineStr">
        <is>
          <t>Software developer</t>
        </is>
      </c>
      <c r="B28" s="35" t="inlineStr">
        <is>
          <t>Christoph Mantsch</t>
        </is>
      </c>
    </row>
    <row r="29">
      <c r="A29" s="35" t="inlineStr">
        <is>
          <t>Software developer</t>
        </is>
      </c>
      <c r="B29" s="35" t="inlineStr">
        <is>
          <t>Zohreh Asadi</t>
        </is>
      </c>
    </row>
  </sheetData>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62.63" customWidth="1" style="114" min="1" max="2"/>
  </cols>
  <sheetData>
    <row r="1">
      <c r="A1" s="36" t="inlineStr">
        <is>
          <t>Product Vision</t>
        </is>
      </c>
      <c r="B1" s="36" t="inlineStr">
        <is>
          <t>Project Mission</t>
        </is>
      </c>
    </row>
    <row r="2">
      <c r="A2" s="38" t="n"/>
      <c r="B2" s="38" t="n"/>
    </row>
    <row r="3">
      <c r="A3" s="39" t="inlineStr">
        <is>
          <t>The reason of existence of the envisioned product (beyond this project).</t>
        </is>
      </c>
      <c r="B3" s="39" t="inlineStr">
        <is>
          <t>The mission of this particular project (in the context of the product vision).</t>
        </is>
      </c>
    </row>
    <row r="4"/>
    <row r="5"/>
    <row r="6"/>
    <row r="7"/>
    <row r="8"/>
    <row r="9"/>
    <row r="10"/>
    <row r="11"/>
    <row r="12"/>
    <row r="13"/>
    <row r="14"/>
    <row r="15"/>
    <row r="16"/>
    <row r="17"/>
    <row r="18"/>
    <row r="19"/>
    <row r="20"/>
  </sheetData>
  <mergeCells count="2">
    <mergeCell ref="B3:B20"/>
    <mergeCell ref="A3:A20"/>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14" min="1" max="1"/>
    <col width="100.13" customWidth="1" style="114" min="2" max="2"/>
  </cols>
  <sheetData>
    <row r="1">
      <c r="A1" s="40" t="inlineStr">
        <is>
          <t>Term</t>
        </is>
      </c>
      <c r="B1" s="40" t="inlineStr">
        <is>
          <t>Definition</t>
        </is>
      </c>
    </row>
    <row r="2">
      <c r="A2" s="35" t="n"/>
      <c r="B2" s="35" t="n"/>
    </row>
    <row r="3">
      <c r="A3" s="35" t="n"/>
      <c r="B3" s="35" t="n"/>
    </row>
    <row r="4">
      <c r="A4" s="35" t="n"/>
      <c r="B4" s="35" t="n"/>
    </row>
    <row r="5">
      <c r="A5" s="35" t="n"/>
      <c r="B5" s="35" t="n"/>
    </row>
    <row r="6">
      <c r="A6" s="35" t="n"/>
      <c r="B6" s="35" t="n"/>
    </row>
    <row r="7">
      <c r="A7" s="35" t="n"/>
      <c r="B7" s="35" t="n"/>
    </row>
    <row r="8">
      <c r="A8" s="35" t="n"/>
      <c r="B8" s="35" t="n"/>
    </row>
    <row r="9">
      <c r="A9" s="35" t="n"/>
      <c r="B9" s="35" t="n"/>
    </row>
    <row r="10">
      <c r="A10" s="35" t="n"/>
      <c r="B10" s="35" t="n"/>
    </row>
    <row r="11">
      <c r="A11" s="35" t="n"/>
      <c r="B11" s="35" t="n"/>
    </row>
    <row r="12">
      <c r="A12" s="35" t="n"/>
      <c r="B12" s="35" t="n"/>
    </row>
    <row r="13">
      <c r="A13" s="35" t="n"/>
      <c r="B13" s="35" t="n"/>
    </row>
    <row r="14">
      <c r="A14" s="35" t="n"/>
      <c r="B14" s="35" t="n"/>
    </row>
    <row r="15">
      <c r="A15" s="35" t="n"/>
      <c r="B15" s="35" t="n"/>
    </row>
    <row r="16">
      <c r="A16" s="35" t="n"/>
      <c r="B16" s="35" t="n"/>
    </row>
    <row r="17">
      <c r="A17" s="35" t="n"/>
      <c r="B17" s="35" t="n"/>
    </row>
    <row r="18">
      <c r="A18" s="35" t="n"/>
      <c r="B18" s="35" t="n"/>
    </row>
    <row r="19">
      <c r="A19" s="35" t="n"/>
      <c r="B19" s="35" t="n"/>
    </row>
    <row r="20">
      <c r="A20" s="35" t="n"/>
      <c r="B20" s="35"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12.63" customWidth="1" style="114" min="1" max="1"/>
    <col width="112.63" customWidth="1" style="114" min="2" max="2"/>
  </cols>
  <sheetData>
    <row r="1">
      <c r="A1" s="41" t="inlineStr">
        <is>
          <t>Sprint #</t>
        </is>
      </c>
      <c r="B1" s="40" t="inlineStr">
        <is>
          <t>Sprint goal</t>
        </is>
      </c>
    </row>
    <row r="2">
      <c r="A2" s="43" t="n">
        <v>1</v>
      </c>
      <c r="B2" s="35" t="inlineStr">
        <is>
          <t>Meeting with industry partner and getting things started (and the T-shirt of course)</t>
        </is>
      </c>
    </row>
    <row r="3">
      <c r="A3" s="43">
        <f>A2+1</f>
        <v/>
      </c>
      <c r="B3" s="35" t="inlineStr">
        <is>
          <t>Start work on individual components and research unclear topics</t>
        </is>
      </c>
    </row>
    <row r="4">
      <c r="A4" s="43">
        <f>A3+1</f>
        <v/>
      </c>
      <c r="B4" s="35" t="inlineStr">
        <is>
          <t>Combining components into a first working prototype</t>
        </is>
      </c>
    </row>
    <row r="5">
      <c r="A5" s="43">
        <f>A4+1</f>
        <v/>
      </c>
      <c r="B5" s="35" t="inlineStr">
        <is>
          <t>Refining prototype and splitting out components</t>
        </is>
      </c>
    </row>
    <row r="6">
      <c r="A6" s="43">
        <f>A5+1</f>
        <v/>
      </c>
      <c r="B6" s="35" t="inlineStr">
        <is>
          <t>Finishing the Implementation of the Initial Architecture</t>
        </is>
      </c>
    </row>
    <row r="7">
      <c r="A7" s="43">
        <f>A6+1</f>
        <v/>
      </c>
      <c r="B7" s="35" t="n"/>
    </row>
    <row r="8">
      <c r="A8" s="43">
        <f>A7+1</f>
        <v/>
      </c>
      <c r="B8" s="35" t="n"/>
    </row>
    <row r="9">
      <c r="A9" s="43">
        <f>A8+1</f>
        <v/>
      </c>
      <c r="B9" s="35" t="n"/>
    </row>
    <row r="10">
      <c r="A10" s="43">
        <f>A9+1</f>
        <v/>
      </c>
      <c r="B10" s="35" t="n"/>
    </row>
    <row r="11">
      <c r="A11" s="43">
        <f>A10+1</f>
        <v/>
      </c>
      <c r="B11" s="35" t="n"/>
    </row>
    <row r="12">
      <c r="A12" s="43">
        <f>A11+1</f>
        <v/>
      </c>
      <c r="B12" s="35" t="n"/>
    </row>
    <row r="13">
      <c r="A13" s="43">
        <f>A12+1</f>
        <v/>
      </c>
      <c r="B13" s="35" t="n"/>
    </row>
    <row r="14">
      <c r="A14" s="43">
        <f>A13+1</f>
        <v/>
      </c>
      <c r="B14" s="35" t="n"/>
    </row>
    <row r="15">
      <c r="A15" s="43">
        <f>A14+1</f>
        <v/>
      </c>
      <c r="B15" s="35" t="n"/>
    </row>
    <row r="16">
      <c r="A16" s="43">
        <f>A15+1</f>
        <v/>
      </c>
      <c r="B16" s="35" t="n"/>
    </row>
    <row r="17">
      <c r="A17" s="43" t="n"/>
      <c r="B17" s="35" t="n"/>
    </row>
    <row r="18">
      <c r="A18" s="43" t="n"/>
      <c r="B18" s="35" t="n"/>
    </row>
    <row r="19">
      <c r="A19" s="43" t="n"/>
      <c r="B19" s="35" t="n"/>
    </row>
    <row r="20">
      <c r="A20" s="43" t="n"/>
      <c r="B20" s="35"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12.63" customWidth="1" style="114" min="1" max="1"/>
    <col width="112.63" customWidth="1" style="114" min="2" max="2"/>
  </cols>
  <sheetData>
    <row r="1">
      <c r="A1" s="41" t="inlineStr">
        <is>
          <t>Sprint #</t>
        </is>
      </c>
      <c r="B1" s="40" t="inlineStr">
        <is>
          <t>Story Points Realized</t>
        </is>
      </c>
    </row>
    <row r="2">
      <c r="A2" s="43" t="n">
        <v>1</v>
      </c>
      <c r="B2" s="35" t="n"/>
    </row>
    <row r="3">
      <c r="A3" s="43">
        <f>A2+1</f>
        <v/>
      </c>
      <c r="B3" s="35" t="n"/>
    </row>
    <row r="4">
      <c r="A4" s="43">
        <f>A3+1</f>
        <v/>
      </c>
      <c r="B4" s="35" t="n"/>
    </row>
    <row r="5">
      <c r="A5" s="43">
        <f>A4+1</f>
        <v/>
      </c>
    </row>
    <row r="6">
      <c r="A6" s="43">
        <f>A5+1</f>
        <v/>
      </c>
      <c r="B6" s="35" t="n"/>
    </row>
    <row r="7">
      <c r="A7" s="43">
        <f>A6+1</f>
        <v/>
      </c>
      <c r="B7" s="35" t="n"/>
    </row>
    <row r="8">
      <c r="A8" s="43">
        <f>A7+1</f>
        <v/>
      </c>
      <c r="B8" s="35" t="n"/>
    </row>
    <row r="9">
      <c r="A9" s="43">
        <f>A8+1</f>
        <v/>
      </c>
      <c r="B9" s="35" t="n"/>
    </row>
    <row r="10">
      <c r="A10" s="43">
        <f>A9+1</f>
        <v/>
      </c>
      <c r="B10" s="35" t="n"/>
    </row>
    <row r="11">
      <c r="A11" s="43">
        <f>A10+1</f>
        <v/>
      </c>
      <c r="B11" s="35" t="n"/>
    </row>
    <row r="12">
      <c r="A12" s="43">
        <f>A11+1</f>
        <v/>
      </c>
      <c r="B12" s="35" t="n"/>
    </row>
    <row r="13">
      <c r="A13" s="43">
        <f>A12+1</f>
        <v/>
      </c>
      <c r="B13" s="35" t="n"/>
    </row>
    <row r="14">
      <c r="A14" s="43">
        <f>A13+1</f>
        <v/>
      </c>
      <c r="B14" s="35" t="n"/>
    </row>
    <row r="15">
      <c r="A15" s="43">
        <f>A14+1</f>
        <v/>
      </c>
      <c r="B15" s="35" t="n"/>
    </row>
    <row r="16">
      <c r="A16" s="43">
        <f>A15+1</f>
        <v/>
      </c>
      <c r="B16" s="35" t="n"/>
    </row>
    <row r="17">
      <c r="A17" s="43" t="n"/>
      <c r="B17" s="35" t="n"/>
    </row>
    <row r="18">
      <c r="A18" s="43" t="n"/>
      <c r="B18" s="44" t="inlineStr">
        <is>
          <t>PLEASE CREATE THE VELOCITY CHART ON A NEW TAB USING THE DATA FROM THIS TAB</t>
        </is>
      </c>
    </row>
    <row r="19">
      <c r="A19" s="43" t="n"/>
      <c r="B19" s="35" t="n"/>
    </row>
    <row r="20">
      <c r="A20" s="43" t="n"/>
      <c r="B20" s="35"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G34"/>
  <sheetViews>
    <sheetView workbookViewId="0">
      <pane ySplit="1" topLeftCell="A2" activePane="bottomLeft" state="frozen"/>
      <selection pane="bottomLeft" activeCell="B3" sqref="B3"/>
    </sheetView>
  </sheetViews>
  <sheetFormatPr baseColWidth="8" defaultColWidth="12.63" defaultRowHeight="12.75" customHeight="1"/>
  <cols>
    <col width="6.38" customWidth="1" style="114" min="1" max="2"/>
    <col width="62.63" customWidth="1" style="114" min="3" max="3"/>
    <col width="15.75" customWidth="1" style="114" min="4" max="7"/>
  </cols>
  <sheetData>
    <row r="1">
      <c r="A1" s="45" t="inlineStr">
        <is>
          <t>Sprint</t>
        </is>
      </c>
      <c r="B1" s="78" t="inlineStr">
        <is>
          <t>Goal</t>
        </is>
      </c>
      <c r="C1" s="78" t="inlineStr">
        <is>
          <t>Feature Name</t>
        </is>
      </c>
      <c r="D1" s="48" t="inlineStr">
        <is>
          <t>Est. size</t>
        </is>
      </c>
      <c r="E1" s="48" t="inlineStr">
        <is>
          <t>Est. remaining</t>
        </is>
      </c>
      <c r="F1" s="48" t="inlineStr">
        <is>
          <t>Real size</t>
        </is>
      </c>
      <c r="G1" s="48" t="inlineStr">
        <is>
          <t>Real remaining</t>
        </is>
      </c>
    </row>
    <row r="2">
      <c r="A2" s="72" t="n"/>
      <c r="B2" s="64" t="n"/>
      <c r="C2" s="76" t="n"/>
      <c r="D2" s="76" t="n"/>
      <c r="E2" s="76" t="n"/>
      <c r="F2" s="76" t="n"/>
      <c r="G2" s="76" t="n"/>
    </row>
    <row r="3">
      <c r="A3" s="51" t="inlineStr">
        <is>
          <t>Release</t>
        </is>
      </c>
      <c r="B3" s="52" t="n"/>
      <c r="C3" s="53" t="n"/>
      <c r="D3" s="53" t="n"/>
      <c r="E3" s="53" t="n"/>
      <c r="F3" s="53" t="n"/>
      <c r="G3" s="53" t="n"/>
    </row>
    <row r="4">
      <c r="A4" s="72" t="n"/>
      <c r="B4" s="64" t="n"/>
      <c r="C4" s="76" t="n"/>
      <c r="D4" s="76" t="n"/>
      <c r="E4" s="76" t="n"/>
      <c r="F4" s="76" t="n"/>
      <c r="G4" s="76" t="n"/>
    </row>
    <row r="5">
      <c r="A5" s="54" t="inlineStr">
        <is>
          <t>Total</t>
        </is>
      </c>
      <c r="B5" s="55" t="n"/>
      <c r="C5" s="30" t="n"/>
      <c r="D5" s="56">
        <f>sum(D8:D13)</f>
        <v/>
      </c>
      <c r="E5" s="56">
        <f>D5</f>
        <v/>
      </c>
      <c r="F5" s="30" t="n"/>
      <c r="G5" s="30" t="n"/>
    </row>
    <row r="6">
      <c r="A6" s="72" t="n"/>
      <c r="B6" s="64" t="n"/>
      <c r="C6" s="76" t="n"/>
      <c r="D6" s="76" t="n"/>
      <c r="E6" s="76" t="n"/>
      <c r="F6" s="76" t="n"/>
      <c r="G6" s="76" t="n"/>
    </row>
    <row r="7">
      <c r="A7" s="57" t="inlineStr">
        <is>
          <t>Sprints</t>
        </is>
      </c>
      <c r="B7" s="75" t="n"/>
      <c r="C7" s="59" t="n"/>
      <c r="D7" s="59" t="n"/>
      <c r="E7" s="59" t="n"/>
      <c r="F7" s="59" t="n"/>
      <c r="G7" s="59" t="n"/>
    </row>
    <row r="8">
      <c r="A8" s="72" t="n"/>
      <c r="B8" s="64" t="n"/>
      <c r="C8" s="76" t="n"/>
      <c r="D8" s="76" t="n"/>
      <c r="E8" s="60" t="inlineStr">
        <is>
          <t>Estimated burn-down</t>
        </is>
      </c>
      <c r="F8" s="76" t="n"/>
      <c r="G8" s="60" t="inlineStr">
        <is>
          <t>Real burn-down</t>
        </is>
      </c>
    </row>
    <row r="9">
      <c r="A9" s="61" t="n">
        <v>1</v>
      </c>
      <c r="B9" s="54" t="n"/>
      <c r="C9" s="30" t="n"/>
      <c r="D9" s="56">
        <f>sum(D16:D21)</f>
        <v/>
      </c>
      <c r="E9" s="56">
        <f>$D$5</f>
        <v/>
      </c>
      <c r="F9" s="56">
        <f>sum(F16:F21)</f>
        <v/>
      </c>
      <c r="G9" s="56">
        <f>$D$5</f>
        <v/>
      </c>
    </row>
    <row r="10">
      <c r="A10" s="72">
        <f>A9+1</f>
        <v/>
      </c>
      <c r="B10" s="64" t="n"/>
      <c r="C10" s="76" t="n"/>
      <c r="D10" s="71">
        <f>sum(D22:D27)</f>
        <v/>
      </c>
      <c r="E10" s="71">
        <f>E9-D9</f>
        <v/>
      </c>
      <c r="F10" s="71">
        <f>sum(F22:F27)</f>
        <v/>
      </c>
      <c r="G10" s="71">
        <f>G9-F9</f>
        <v/>
      </c>
    </row>
    <row r="11">
      <c r="A11" s="61">
        <f>A10+1</f>
        <v/>
      </c>
      <c r="B11" s="54" t="n"/>
      <c r="C11" s="30" t="n"/>
      <c r="D11" s="56">
        <f>sum(D28:D33)</f>
        <v/>
      </c>
      <c r="E11" s="56">
        <f>E10-D10</f>
        <v/>
      </c>
      <c r="F11" s="56">
        <f>sum(F28:F33)</f>
        <v/>
      </c>
      <c r="G11" s="56">
        <f>G10-F10</f>
        <v/>
      </c>
    </row>
    <row r="12">
      <c r="A12" s="72" t="inlineStr">
        <is>
          <t>...</t>
        </is>
      </c>
      <c r="B12" s="64" t="n"/>
      <c r="C12" s="76" t="n"/>
      <c r="D12" s="76" t="n"/>
      <c r="E12" s="71">
        <f>E11-D11</f>
        <v/>
      </c>
      <c r="F12" s="76" t="n"/>
      <c r="G12" s="71">
        <f>G11-F11</f>
        <v/>
      </c>
    </row>
    <row r="13">
      <c r="A13" s="61" t="n"/>
      <c r="B13" s="54" t="n"/>
      <c r="C13" s="30" t="n"/>
      <c r="D13" s="30" t="n"/>
      <c r="E13" s="30" t="n"/>
      <c r="F13" s="30" t="n"/>
      <c r="G13" s="30" t="n"/>
    </row>
    <row r="14">
      <c r="A14" s="65" t="inlineStr">
        <is>
          <t>Features</t>
        </is>
      </c>
      <c r="B14" s="66" t="n"/>
      <c r="C14" s="67" t="n"/>
      <c r="D14" s="67" t="n"/>
      <c r="E14" s="67" t="n"/>
      <c r="F14" s="67" t="n"/>
      <c r="G14" s="67" t="n"/>
    </row>
    <row r="15">
      <c r="A15" s="61" t="n"/>
      <c r="B15" s="54" t="n"/>
      <c r="C15" s="30" t="n"/>
      <c r="D15" s="30" t="n"/>
      <c r="E15" s="30" t="n"/>
      <c r="F15" s="30" t="n"/>
      <c r="G15" s="30" t="n"/>
    </row>
    <row r="16">
      <c r="A16" s="68">
        <f>A9</f>
        <v/>
      </c>
      <c r="B16" s="69">
        <f>B9</f>
        <v/>
      </c>
      <c r="C16" s="76" t="n"/>
      <c r="D16" s="76" t="n"/>
      <c r="E16" s="76" t="n"/>
      <c r="F16" s="76" t="n"/>
      <c r="G16" s="76" t="n"/>
    </row>
    <row r="17">
      <c r="A17" s="61" t="n"/>
      <c r="B17" s="70" t="n"/>
      <c r="C17" s="30" t="n"/>
      <c r="D17" s="30" t="n"/>
      <c r="E17" s="30" t="n"/>
      <c r="F17" s="30" t="n"/>
      <c r="G17" s="30" t="n"/>
    </row>
    <row r="18">
      <c r="A18" s="72" t="n"/>
      <c r="B18" s="64" t="n"/>
      <c r="C18" s="64" t="n"/>
      <c r="D18" s="71" t="n"/>
      <c r="E18" s="64" t="n"/>
      <c r="F18" s="71" t="n"/>
      <c r="G18" s="64" t="n"/>
    </row>
    <row r="19">
      <c r="A19" s="61" t="n"/>
      <c r="B19" s="70" t="n"/>
      <c r="C19" s="30" t="n"/>
      <c r="D19" s="56" t="n"/>
      <c r="E19" s="30" t="n"/>
      <c r="F19" s="56" t="n"/>
      <c r="G19" s="30" t="n"/>
    </row>
    <row r="20">
      <c r="A20" s="72" t="n"/>
      <c r="B20" s="64" t="n"/>
      <c r="C20" s="64" t="n"/>
      <c r="D20" s="71" t="n"/>
      <c r="E20" s="64" t="n"/>
      <c r="F20" s="71" t="n"/>
      <c r="G20" s="64" t="n"/>
    </row>
    <row r="21">
      <c r="A21" s="61" t="n"/>
      <c r="B21" s="70" t="n"/>
      <c r="C21" s="30" t="n"/>
      <c r="D21" s="56" t="n"/>
      <c r="E21" s="30" t="n"/>
      <c r="F21" s="56" t="n"/>
      <c r="G21" s="30" t="n"/>
    </row>
    <row r="22">
      <c r="A22" s="68">
        <f>A10</f>
        <v/>
      </c>
      <c r="B22" s="69">
        <f>B10</f>
        <v/>
      </c>
      <c r="C22" s="76" t="n"/>
      <c r="D22" s="76" t="n"/>
      <c r="E22" s="76" t="n"/>
      <c r="F22" s="76" t="n"/>
      <c r="G22" s="76" t="n"/>
    </row>
    <row r="23">
      <c r="A23" s="61" t="n"/>
      <c r="B23" s="70" t="n"/>
      <c r="C23" s="30" t="n"/>
      <c r="D23" s="30" t="n"/>
      <c r="E23" s="30" t="n"/>
      <c r="F23" s="30" t="n"/>
      <c r="G23" s="30" t="n"/>
    </row>
    <row r="24">
      <c r="A24" s="72" t="n"/>
      <c r="B24" s="64" t="n"/>
      <c r="C24" s="64" t="n"/>
      <c r="D24" s="71" t="n"/>
      <c r="E24" s="64" t="n"/>
      <c r="F24" s="71" t="n"/>
      <c r="G24" s="64" t="n"/>
    </row>
    <row r="25">
      <c r="A25" s="61" t="n"/>
      <c r="B25" s="70" t="n"/>
      <c r="C25" s="30" t="n"/>
      <c r="D25" s="56" t="n"/>
      <c r="E25" s="30" t="n"/>
      <c r="F25" s="56" t="n"/>
      <c r="G25" s="30" t="n"/>
    </row>
    <row r="26">
      <c r="A26" s="72" t="n"/>
      <c r="B26" s="64" t="n"/>
      <c r="C26" s="64" t="n"/>
      <c r="D26" s="71" t="n"/>
      <c r="E26" s="64" t="n"/>
      <c r="F26" s="71" t="n"/>
      <c r="G26" s="64" t="n"/>
    </row>
    <row r="27">
      <c r="A27" s="61" t="n"/>
      <c r="B27" s="70" t="n"/>
      <c r="C27" s="30" t="n"/>
      <c r="D27" s="56" t="n"/>
      <c r="E27" s="30" t="n"/>
      <c r="F27" s="56" t="n"/>
      <c r="G27" s="30" t="n"/>
    </row>
    <row r="28">
      <c r="A28" s="68">
        <f>A11</f>
        <v/>
      </c>
      <c r="B28" s="69">
        <f>B11</f>
        <v/>
      </c>
      <c r="C28" s="76" t="n"/>
      <c r="D28" s="76" t="n"/>
      <c r="E28" s="76" t="n"/>
      <c r="F28" s="76" t="n"/>
      <c r="G28" s="76" t="n"/>
    </row>
    <row r="29">
      <c r="A29" s="61" t="n"/>
      <c r="B29" s="70" t="n"/>
      <c r="C29" s="30" t="n"/>
      <c r="D29" s="30" t="n"/>
      <c r="E29" s="30" t="n"/>
      <c r="F29" s="30" t="n"/>
      <c r="G29" s="30" t="n"/>
    </row>
    <row r="30">
      <c r="A30" s="72" t="n"/>
      <c r="B30" s="64" t="n"/>
      <c r="C30" s="64" t="n"/>
      <c r="D30" s="71" t="n"/>
      <c r="E30" s="64" t="n"/>
      <c r="F30" s="64" t="n"/>
      <c r="G30" s="64" t="n"/>
    </row>
    <row r="31">
      <c r="A31" s="61" t="n"/>
      <c r="B31" s="70" t="n"/>
      <c r="C31" s="30" t="n"/>
      <c r="D31" s="56" t="n"/>
      <c r="E31" s="30" t="n"/>
      <c r="F31" s="30" t="n"/>
      <c r="G31" s="30" t="n"/>
    </row>
    <row r="32">
      <c r="A32" s="72" t="n"/>
      <c r="B32" s="64" t="n"/>
      <c r="C32" s="76" t="n"/>
      <c r="D32" s="71" t="n"/>
      <c r="E32" s="64" t="n"/>
      <c r="F32" s="64" t="n"/>
      <c r="G32" s="64" t="n"/>
    </row>
    <row r="33">
      <c r="A33" s="61" t="n"/>
      <c r="B33" s="70" t="n"/>
      <c r="C33" s="73" t="inlineStr">
        <is>
          <t>PLEASE CREATE THE BURNDOWN CHART ON A NEW TAB USING THE DATA FROM THIS TAB</t>
        </is>
      </c>
      <c r="D33" s="56" t="n"/>
      <c r="E33" s="30" t="n"/>
      <c r="F33" s="30" t="n"/>
      <c r="G33" s="30" t="n"/>
    </row>
    <row r="34">
      <c r="A34" s="72" t="n"/>
      <c r="B34" s="64" t="n"/>
      <c r="C34" s="76" t="n"/>
      <c r="D34" s="76" t="n"/>
      <c r="E34" s="76" t="n"/>
      <c r="F34" s="76" t="n"/>
      <c r="G34" s="76"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G34"/>
  <sheetViews>
    <sheetView workbookViewId="0">
      <pane ySplit="1" topLeftCell="A2" activePane="bottomLeft" state="frozen"/>
      <selection pane="bottomLeft" activeCell="B3" sqref="B3"/>
    </sheetView>
  </sheetViews>
  <sheetFormatPr baseColWidth="8" defaultColWidth="12.63" defaultRowHeight="12.75" customHeight="1"/>
  <cols>
    <col width="6.38" customWidth="1" style="114" min="1" max="2"/>
    <col width="62.63" customWidth="1" style="114" min="3" max="3"/>
    <col width="15.75" customWidth="1" style="114" min="4" max="7"/>
  </cols>
  <sheetData>
    <row r="1">
      <c r="A1" s="45" t="inlineStr">
        <is>
          <t>Sprint</t>
        </is>
      </c>
      <c r="B1" s="77" t="inlineStr">
        <is>
          <t>Goal</t>
        </is>
      </c>
      <c r="C1" s="78" t="inlineStr">
        <is>
          <t>Feature Name</t>
        </is>
      </c>
      <c r="D1" s="48" t="inlineStr">
        <is>
          <t>Est. size</t>
        </is>
      </c>
      <c r="E1" s="48" t="inlineStr">
        <is>
          <t>Est. remaining</t>
        </is>
      </c>
      <c r="F1" s="48" t="inlineStr">
        <is>
          <t>Real size</t>
        </is>
      </c>
      <c r="G1" s="48" t="inlineStr">
        <is>
          <t>Real remaining</t>
        </is>
      </c>
    </row>
    <row r="2">
      <c r="A2" s="72" t="n"/>
      <c r="B2" s="76" t="n"/>
      <c r="C2" s="76" t="n"/>
      <c r="D2" s="76" t="n"/>
      <c r="E2" s="76" t="n"/>
      <c r="F2" s="76" t="n"/>
      <c r="G2" s="76" t="n"/>
    </row>
    <row r="3">
      <c r="A3" s="51" t="inlineStr">
        <is>
          <t>Release</t>
        </is>
      </c>
      <c r="B3" s="53" t="n"/>
      <c r="C3" s="53" t="n"/>
      <c r="D3" s="53" t="n"/>
      <c r="E3" s="53" t="n"/>
      <c r="F3" s="53" t="n"/>
      <c r="G3" s="53" t="n"/>
    </row>
    <row r="4">
      <c r="A4" s="72" t="n"/>
      <c r="B4" s="76" t="n"/>
      <c r="C4" s="76" t="n"/>
      <c r="D4" s="76" t="n"/>
      <c r="E4" s="76" t="n"/>
      <c r="F4" s="76" t="n"/>
      <c r="G4" s="76" t="n"/>
    </row>
    <row r="5">
      <c r="A5" s="54" t="inlineStr">
        <is>
          <t>Total</t>
        </is>
      </c>
      <c r="B5" s="30" t="n"/>
      <c r="C5" s="30" t="n"/>
      <c r="D5" s="56">
        <f>sum(D8:D13)</f>
        <v/>
      </c>
      <c r="E5" s="56">
        <f>D5</f>
        <v/>
      </c>
      <c r="F5" s="30" t="n"/>
      <c r="G5" s="30" t="n"/>
    </row>
    <row r="6">
      <c r="A6" s="72" t="n"/>
      <c r="B6" s="76" t="n"/>
      <c r="C6" s="76" t="n"/>
      <c r="D6" s="76" t="n"/>
      <c r="E6" s="76" t="n"/>
      <c r="F6" s="76" t="n"/>
      <c r="G6" s="76" t="n"/>
    </row>
    <row r="7">
      <c r="A7" s="57" t="inlineStr">
        <is>
          <t>Sprints</t>
        </is>
      </c>
      <c r="B7" s="75" t="n"/>
      <c r="C7" s="59" t="n"/>
      <c r="D7" s="59" t="n"/>
      <c r="E7" s="59" t="n"/>
      <c r="F7" s="59" t="n"/>
      <c r="G7" s="59" t="n"/>
    </row>
    <row r="8">
      <c r="A8" s="72" t="n"/>
      <c r="B8" s="76" t="n"/>
      <c r="C8" s="76" t="n"/>
      <c r="D8" s="76" t="n"/>
      <c r="E8" s="60" t="inlineStr">
        <is>
          <t>Estimated burn-down</t>
        </is>
      </c>
      <c r="F8" s="76" t="n"/>
      <c r="G8" s="60" t="inlineStr">
        <is>
          <t>Real burn-down</t>
        </is>
      </c>
    </row>
    <row r="9">
      <c r="A9" s="61" t="n">
        <v>1</v>
      </c>
      <c r="B9" s="30" t="n"/>
      <c r="C9" s="30" t="n"/>
      <c r="D9" s="56">
        <f>sum(D16:D21)</f>
        <v/>
      </c>
      <c r="E9" s="56">
        <f>$D$5</f>
        <v/>
      </c>
      <c r="F9" s="56">
        <f>sum(F16:F21)</f>
        <v/>
      </c>
      <c r="G9" s="56">
        <f>$D$5</f>
        <v/>
      </c>
    </row>
    <row r="10">
      <c r="A10" s="72">
        <f>A9+1</f>
        <v/>
      </c>
      <c r="B10" s="76" t="n"/>
      <c r="C10" s="76" t="n"/>
      <c r="D10" s="71">
        <f>sum(D22:D27)</f>
        <v/>
      </c>
      <c r="E10" s="71">
        <f>E9-D9</f>
        <v/>
      </c>
      <c r="F10" s="71">
        <f>sum(F22:F27)</f>
        <v/>
      </c>
      <c r="G10" s="71">
        <f>G9-F9</f>
        <v/>
      </c>
    </row>
    <row r="11">
      <c r="A11" s="61">
        <f>A10+1</f>
        <v/>
      </c>
      <c r="B11" s="30" t="n"/>
      <c r="C11" s="30" t="n"/>
      <c r="D11" s="56">
        <f>sum(D28:D33)</f>
        <v/>
      </c>
      <c r="E11" s="56">
        <f>E10-D10</f>
        <v/>
      </c>
      <c r="F11" s="56">
        <f>sum(F28:F33)</f>
        <v/>
      </c>
      <c r="G11" s="56">
        <f>G10-F10</f>
        <v/>
      </c>
    </row>
    <row r="12">
      <c r="A12" s="72" t="inlineStr">
        <is>
          <t>...</t>
        </is>
      </c>
      <c r="B12" s="76" t="n"/>
      <c r="C12" s="76" t="n"/>
      <c r="D12" s="76" t="n"/>
      <c r="E12" s="71">
        <f>E11-D11</f>
        <v/>
      </c>
      <c r="F12" s="76" t="n"/>
      <c r="G12" s="71">
        <f>G11-F11</f>
        <v/>
      </c>
    </row>
    <row r="13">
      <c r="A13" s="61" t="n"/>
      <c r="B13" s="30" t="n"/>
      <c r="C13" s="30" t="n"/>
      <c r="D13" s="30" t="n"/>
      <c r="E13" s="30" t="n"/>
      <c r="F13" s="30" t="n"/>
      <c r="G13" s="30" t="n"/>
    </row>
    <row r="14">
      <c r="A14" s="65" t="inlineStr">
        <is>
          <t>Features</t>
        </is>
      </c>
      <c r="B14" s="66" t="n"/>
      <c r="C14" s="67" t="n"/>
      <c r="D14" s="67" t="n"/>
      <c r="E14" s="67" t="n"/>
      <c r="F14" s="67" t="n"/>
      <c r="G14" s="67" t="n"/>
    </row>
    <row r="15">
      <c r="A15" s="61" t="n"/>
      <c r="B15" s="30" t="n"/>
      <c r="C15" s="30" t="n"/>
      <c r="D15" s="30" t="n"/>
      <c r="E15" s="30" t="n"/>
      <c r="F15" s="30" t="n"/>
      <c r="G15" s="30" t="n"/>
    </row>
    <row r="16">
      <c r="A16" s="68">
        <f>A9</f>
        <v/>
      </c>
      <c r="B16" s="76" t="n"/>
      <c r="C16" s="76" t="n"/>
      <c r="D16" s="76" t="n"/>
      <c r="E16" s="76" t="n"/>
      <c r="F16" s="76" t="n"/>
      <c r="G16" s="76" t="n"/>
    </row>
    <row r="17">
      <c r="A17" s="61" t="n"/>
      <c r="B17" s="70" t="n"/>
      <c r="C17" s="30" t="n"/>
      <c r="D17" s="30" t="n"/>
      <c r="E17" s="30" t="n"/>
      <c r="F17" s="30" t="n"/>
      <c r="G17" s="30" t="n"/>
    </row>
    <row r="18">
      <c r="A18" s="72" t="n"/>
      <c r="B18" s="76" t="n"/>
      <c r="C18" s="64" t="n"/>
      <c r="D18" s="71" t="n"/>
      <c r="E18" s="64" t="n"/>
      <c r="F18" s="71" t="n"/>
      <c r="G18" s="64" t="n"/>
    </row>
    <row r="19">
      <c r="A19" s="61" t="n"/>
      <c r="B19" s="30" t="n"/>
      <c r="C19" s="30" t="n"/>
      <c r="D19" s="56" t="n"/>
      <c r="E19" s="30" t="n"/>
      <c r="F19" s="56" t="n"/>
      <c r="G19" s="30" t="n"/>
    </row>
    <row r="20">
      <c r="A20" s="72" t="n"/>
      <c r="B20" s="76" t="n"/>
      <c r="C20" s="64" t="n"/>
      <c r="D20" s="71" t="n"/>
      <c r="E20" s="64" t="n"/>
      <c r="F20" s="71" t="n"/>
      <c r="G20" s="64" t="n"/>
    </row>
    <row r="21">
      <c r="A21" s="61" t="n"/>
      <c r="B21" s="30" t="n"/>
      <c r="C21" s="30" t="n"/>
      <c r="D21" s="56" t="n"/>
      <c r="E21" s="30" t="n"/>
      <c r="F21" s="56" t="n"/>
      <c r="G21" s="30" t="n"/>
    </row>
    <row r="22">
      <c r="A22" s="68">
        <f>A10</f>
        <v/>
      </c>
      <c r="B22" s="76" t="n"/>
      <c r="C22" s="76" t="n"/>
      <c r="D22" s="76" t="n"/>
      <c r="E22" s="76" t="n"/>
      <c r="F22" s="76" t="n"/>
      <c r="G22" s="76" t="n"/>
    </row>
    <row r="23">
      <c r="A23" s="61" t="n"/>
      <c r="B23" s="70" t="n"/>
      <c r="C23" s="30" t="n"/>
      <c r="D23" s="30" t="n"/>
      <c r="E23" s="30" t="n"/>
      <c r="F23" s="30" t="n"/>
      <c r="G23" s="30" t="n"/>
    </row>
    <row r="24">
      <c r="A24" s="72" t="n"/>
      <c r="B24" s="76" t="n"/>
      <c r="C24" s="64" t="n"/>
      <c r="D24" s="71" t="n"/>
      <c r="E24" s="64" t="n"/>
      <c r="F24" s="71" t="n"/>
      <c r="G24" s="64" t="n"/>
    </row>
    <row r="25">
      <c r="A25" s="61" t="n"/>
      <c r="B25" s="30" t="n"/>
      <c r="C25" s="30" t="n"/>
      <c r="D25" s="56" t="n"/>
      <c r="E25" s="30" t="n"/>
      <c r="F25" s="56" t="n"/>
      <c r="G25" s="30" t="n"/>
    </row>
    <row r="26">
      <c r="A26" s="72" t="n"/>
      <c r="B26" s="76" t="n"/>
      <c r="C26" s="64" t="n"/>
      <c r="D26" s="71" t="n"/>
      <c r="E26" s="64" t="n"/>
      <c r="F26" s="71" t="n"/>
      <c r="G26" s="64" t="n"/>
    </row>
    <row r="27">
      <c r="A27" s="61" t="n"/>
      <c r="B27" s="30" t="n"/>
      <c r="C27" s="30" t="n"/>
      <c r="D27" s="56" t="n"/>
      <c r="E27" s="30" t="n"/>
      <c r="F27" s="56" t="n"/>
      <c r="G27" s="30" t="n"/>
    </row>
    <row r="28">
      <c r="A28" s="68">
        <f>A11</f>
        <v/>
      </c>
      <c r="B28" s="76" t="n"/>
      <c r="C28" s="76" t="n"/>
      <c r="D28" s="76" t="n"/>
      <c r="E28" s="76" t="n"/>
      <c r="F28" s="76" t="n"/>
      <c r="G28" s="76" t="n"/>
    </row>
    <row r="29">
      <c r="A29" s="61" t="n"/>
      <c r="B29" s="70" t="n"/>
      <c r="C29" s="30" t="n"/>
      <c r="D29" s="30" t="n"/>
      <c r="E29" s="30" t="n"/>
      <c r="F29" s="30" t="n"/>
      <c r="G29" s="30" t="n"/>
    </row>
    <row r="30">
      <c r="A30" s="72" t="n"/>
      <c r="B30" s="76" t="n"/>
      <c r="C30" s="64" t="n"/>
      <c r="D30" s="71" t="n"/>
      <c r="E30" s="64" t="n"/>
      <c r="F30" s="64" t="n"/>
      <c r="G30" s="64" t="n"/>
    </row>
    <row r="31">
      <c r="A31" s="61" t="n"/>
      <c r="B31" s="30" t="n"/>
      <c r="C31" s="30" t="n"/>
      <c r="D31" s="56" t="n"/>
      <c r="E31" s="30" t="n"/>
      <c r="F31" s="30" t="n"/>
      <c r="G31" s="30" t="n"/>
    </row>
    <row r="32">
      <c r="A32" s="72" t="n"/>
      <c r="B32" s="76" t="n"/>
      <c r="C32" s="76" t="n"/>
      <c r="D32" s="71" t="n"/>
      <c r="E32" s="64" t="n"/>
      <c r="F32" s="64" t="n"/>
      <c r="G32" s="64" t="n"/>
    </row>
    <row r="33">
      <c r="A33" s="61" t="n"/>
      <c r="B33" s="30" t="n"/>
      <c r="C33" s="73" t="inlineStr">
        <is>
          <t>PLEASE CREATE THE BURNDOWN CHART ON A NEW TAB USING THE DATA FROM THIS TAB</t>
        </is>
      </c>
      <c r="D33" s="56" t="n"/>
      <c r="E33" s="30" t="n"/>
      <c r="F33" s="30" t="n"/>
      <c r="G33" s="30" t="n"/>
    </row>
    <row r="34">
      <c r="A34" s="72" t="n"/>
      <c r="B34" s="76" t="n"/>
      <c r="C34" s="76" t="n"/>
      <c r="D34" s="76" t="n"/>
      <c r="E34" s="76" t="n"/>
      <c r="F34" s="76" t="n"/>
      <c r="G34" s="76" t="n"/>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D20"/>
  <sheetViews>
    <sheetView workbookViewId="0">
      <pane ySplit="1" topLeftCell="A2" activePane="bottomLeft" state="frozen"/>
      <selection pane="bottomLeft" activeCell="B3" sqref="B3"/>
    </sheetView>
  </sheetViews>
  <sheetFormatPr baseColWidth="8" defaultColWidth="12.63" defaultRowHeight="12.75" customHeight="1"/>
  <cols>
    <col width="5.13" customWidth="1" style="114" min="1" max="1"/>
    <col width="40.13" customWidth="1" style="114" min="2" max="4"/>
  </cols>
  <sheetData>
    <row r="1">
      <c r="A1" s="77" t="inlineStr">
        <is>
          <t>#</t>
        </is>
      </c>
      <c r="B1" s="78" t="inlineStr">
        <is>
          <t>Feature Definition of Done</t>
        </is>
      </c>
      <c r="C1" s="78" t="inlineStr">
        <is>
          <t>Sprint Release Definition of Done</t>
        </is>
      </c>
      <c r="D1" s="78" t="inlineStr">
        <is>
          <t>Project Release Definition of Done</t>
        </is>
      </c>
    </row>
    <row r="2">
      <c r="A2" s="35" t="n"/>
      <c r="B2" s="35" t="n"/>
      <c r="C2" s="35" t="n"/>
      <c r="D2" s="35" t="n"/>
    </row>
    <row r="3">
      <c r="A3" s="35" t="n"/>
      <c r="B3" s="35" t="n"/>
      <c r="C3" s="35" t="n"/>
      <c r="D3" s="35" t="n"/>
    </row>
    <row r="4">
      <c r="A4" s="35" t="n"/>
      <c r="B4" s="35" t="n"/>
      <c r="C4" s="35" t="n"/>
      <c r="D4" s="35" t="n"/>
    </row>
    <row r="5">
      <c r="A5" s="35" t="n"/>
      <c r="B5" s="35" t="n"/>
      <c r="C5" s="35" t="n"/>
      <c r="D5" s="35" t="n"/>
    </row>
    <row r="6">
      <c r="A6" s="35" t="n"/>
      <c r="B6" s="35" t="n"/>
      <c r="C6" s="35" t="n"/>
      <c r="D6" s="35" t="n"/>
    </row>
    <row r="7">
      <c r="A7" s="35" t="n"/>
      <c r="B7" s="35" t="n"/>
      <c r="C7" s="35" t="n"/>
      <c r="D7" s="35" t="n"/>
    </row>
    <row r="8">
      <c r="A8" s="35" t="n"/>
      <c r="B8" s="35" t="n"/>
      <c r="C8" s="35" t="n"/>
      <c r="D8" s="35" t="n"/>
    </row>
    <row r="9">
      <c r="A9" s="35" t="n"/>
      <c r="B9" s="35" t="n"/>
      <c r="C9" s="35" t="n"/>
      <c r="D9" s="35" t="n"/>
    </row>
    <row r="10">
      <c r="A10" s="35" t="n"/>
      <c r="B10" s="35" t="n"/>
      <c r="C10" s="35" t="n"/>
      <c r="D10" s="35" t="n"/>
    </row>
    <row r="11">
      <c r="A11" s="35" t="n"/>
      <c r="B11" s="35" t="n"/>
      <c r="C11" s="35" t="n"/>
      <c r="D11" s="35" t="n"/>
    </row>
    <row r="12">
      <c r="A12" s="35" t="n"/>
      <c r="B12" s="35" t="n"/>
      <c r="C12" s="35" t="n"/>
      <c r="D12" s="35" t="n"/>
    </row>
    <row r="13">
      <c r="A13" s="35" t="n"/>
      <c r="B13" s="35" t="n"/>
      <c r="C13" s="35" t="n"/>
      <c r="D13" s="35" t="n"/>
    </row>
    <row r="14">
      <c r="A14" s="35" t="n"/>
      <c r="B14" s="35" t="n"/>
      <c r="C14" s="35" t="n"/>
      <c r="D14" s="35" t="n"/>
    </row>
    <row r="15">
      <c r="A15" s="35" t="n"/>
      <c r="B15" s="35" t="n"/>
      <c r="C15" s="35" t="n"/>
      <c r="D15" s="35" t="n"/>
    </row>
    <row r="16">
      <c r="A16" s="35" t="n"/>
      <c r="B16" s="35" t="n"/>
      <c r="C16" s="35" t="n"/>
      <c r="D16" s="35" t="n"/>
    </row>
    <row r="17">
      <c r="A17" s="35" t="n"/>
      <c r="B17" s="35" t="n"/>
      <c r="C17" s="35" t="n"/>
      <c r="D17" s="35" t="n"/>
    </row>
    <row r="18">
      <c r="A18" s="35" t="n"/>
      <c r="B18" s="35" t="n"/>
      <c r="C18" s="35" t="n"/>
      <c r="D18" s="35" t="n"/>
    </row>
    <row r="19">
      <c r="A19" s="35" t="n"/>
      <c r="B19" s="35" t="n"/>
      <c r="C19" s="35" t="n"/>
      <c r="D19" s="35" t="n"/>
    </row>
    <row r="20">
      <c r="A20" s="35" t="n"/>
      <c r="B20" s="35" t="n"/>
      <c r="C20" s="35" t="n"/>
      <c r="D20" s="35" t="n"/>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14" min="1" max="1"/>
    <col width="100.13" customWidth="1" style="114" min="2" max="2"/>
  </cols>
  <sheetData>
    <row r="1">
      <c r="A1" s="40" t="inlineStr">
        <is>
          <t>Type</t>
        </is>
      </c>
      <c r="B1" s="40" t="inlineStr">
        <is>
          <t>Link / reference</t>
        </is>
      </c>
    </row>
    <row r="2">
      <c r="A2" s="35" t="n"/>
      <c r="B2" s="35" t="n"/>
    </row>
    <row r="3">
      <c r="A3" s="35" t="n"/>
      <c r="B3" s="35" t="n"/>
    </row>
    <row r="4">
      <c r="A4" s="35" t="n"/>
      <c r="B4" s="35" t="n"/>
    </row>
    <row r="5">
      <c r="A5" s="35" t="n"/>
      <c r="B5" s="35" t="n"/>
    </row>
    <row r="6">
      <c r="A6" s="35" t="n"/>
      <c r="B6" s="35" t="n"/>
    </row>
    <row r="7">
      <c r="A7" s="35" t="n"/>
      <c r="B7" s="35" t="n"/>
    </row>
    <row r="8">
      <c r="A8" s="35" t="n"/>
      <c r="B8" s="35" t="n"/>
    </row>
    <row r="9">
      <c r="A9" s="35" t="n"/>
      <c r="B9" s="35" t="n"/>
    </row>
    <row r="10">
      <c r="A10" s="35" t="n"/>
      <c r="B10" s="35" t="n"/>
    </row>
    <row r="11">
      <c r="A11" s="35" t="n"/>
      <c r="B11" s="35" t="n"/>
    </row>
    <row r="12">
      <c r="A12" s="35" t="n"/>
      <c r="B12" s="35" t="n"/>
    </row>
    <row r="13">
      <c r="A13" s="35" t="n"/>
      <c r="B13" s="35" t="n"/>
    </row>
    <row r="14">
      <c r="A14" s="35" t="n"/>
      <c r="B14" s="35" t="n"/>
    </row>
    <row r="15">
      <c r="A15" s="35" t="n"/>
      <c r="B15" s="35" t="n"/>
    </row>
    <row r="16">
      <c r="A16" s="35" t="n"/>
      <c r="B16" s="35" t="n"/>
    </row>
    <row r="17">
      <c r="A17" s="35" t="n"/>
      <c r="B17" s="35" t="n"/>
    </row>
    <row r="18">
      <c r="A18" s="35" t="n"/>
      <c r="B18" s="35" t="n"/>
    </row>
    <row r="19">
      <c r="A19" s="35" t="n"/>
      <c r="B19" s="35" t="n"/>
    </row>
    <row r="20">
      <c r="A20" s="35" t="n"/>
      <c r="B20" s="35" t="n"/>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0" summaryRight="0"/>
    <pageSetUpPr fitToPage="1"/>
  </sheetPr>
  <dimension ref="A1:H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14" min="1" max="2"/>
    <col width="12.63" customWidth="1" style="114" min="3" max="5"/>
  </cols>
  <sheetData>
    <row r="1">
      <c r="A1" s="85">
        <f>'Project Team'!A1</f>
        <v/>
      </c>
      <c r="B1" s="85">
        <f>'Project Team'!B1</f>
        <v/>
      </c>
      <c r="C1" s="86" t="inlineStr">
        <is>
          <t>Value</t>
        </is>
      </c>
      <c r="D1" s="87" t="n"/>
      <c r="E1" s="88" t="n"/>
      <c r="F1" s="89" t="n"/>
      <c r="G1" s="90" t="n"/>
      <c r="H1" s="90" t="n"/>
    </row>
    <row r="2">
      <c r="A2" s="91">
        <f>'Project Team'!A2</f>
        <v/>
      </c>
      <c r="B2" s="91">
        <f>'Project Team'!B2</f>
        <v/>
      </c>
      <c r="C2" s="92" t="n"/>
      <c r="D2" s="93" t="n"/>
      <c r="E2" s="94">
        <f>average(C2:C9)</f>
        <v/>
      </c>
      <c r="F2" s="95">
        <f>if(stdev(C2:C7) &gt; 0,"NOK", "OK")</f>
        <v/>
      </c>
      <c r="G2" s="96" t="n"/>
      <c r="H2" s="96" t="n"/>
    </row>
    <row r="3">
      <c r="A3" s="104" t="n"/>
      <c r="B3" s="104" t="n"/>
      <c r="C3" s="92" t="n"/>
      <c r="D3" s="98" t="n"/>
      <c r="G3" s="99" t="n"/>
      <c r="H3" s="99" t="n"/>
    </row>
    <row r="4">
      <c r="A4" s="91">
        <f>'Project Team'!A3</f>
        <v/>
      </c>
      <c r="B4" s="91">
        <f>'Project Team'!B3</f>
        <v/>
      </c>
      <c r="C4" s="92" t="n"/>
      <c r="D4" s="93" t="n"/>
      <c r="G4" s="96" t="n"/>
      <c r="H4" s="96" t="n"/>
    </row>
    <row r="5">
      <c r="A5" s="104">
        <f>'Project Team'!A4</f>
        <v/>
      </c>
      <c r="B5" s="104">
        <f>'Project Team'!B4</f>
        <v/>
      </c>
      <c r="C5" s="92" t="n"/>
      <c r="D5" s="100" t="n"/>
      <c r="E5" s="100" t="n"/>
      <c r="F5" s="100" t="n"/>
      <c r="G5" s="99" t="n"/>
      <c r="H5" s="99" t="n"/>
    </row>
    <row r="6">
      <c r="A6" s="91">
        <f>'Project Team'!A7</f>
        <v/>
      </c>
      <c r="B6" s="91">
        <f>'Project Team'!B7</f>
        <v/>
      </c>
      <c r="C6" s="92" t="n"/>
      <c r="D6" s="101" t="n"/>
      <c r="E6" s="102" t="n">
        <v>0</v>
      </c>
      <c r="F6" s="103" t="inlineStr">
        <is>
          <t>No size</t>
        </is>
      </c>
      <c r="G6" s="96" t="n"/>
      <c r="H6" s="96" t="n"/>
    </row>
    <row r="7">
      <c r="A7" s="104">
        <f>'Project Team'!A8</f>
        <v/>
      </c>
      <c r="B7" s="104">
        <f>'Project Team'!B8</f>
        <v/>
      </c>
      <c r="C7" s="92" t="n"/>
      <c r="D7" s="100" t="n"/>
      <c r="E7" s="102" t="n">
        <v>1</v>
      </c>
      <c r="F7" s="103" t="inlineStr">
        <is>
          <t>Trivial size</t>
        </is>
      </c>
      <c r="G7" s="99" t="n"/>
      <c r="H7" s="99" t="n"/>
    </row>
    <row r="8">
      <c r="A8" s="91">
        <f>'Project Team'!A9</f>
        <v/>
      </c>
      <c r="B8" s="91">
        <f>'Project Team'!B9</f>
        <v/>
      </c>
      <c r="C8" s="92" t="n"/>
      <c r="D8" s="101" t="n"/>
      <c r="E8" s="102" t="n">
        <v>2</v>
      </c>
      <c r="F8" s="103" t="inlineStr">
        <is>
          <t>Small size</t>
        </is>
      </c>
      <c r="G8" s="96" t="n"/>
      <c r="H8" s="96" t="n"/>
    </row>
    <row r="9">
      <c r="A9" s="104" t="inlineStr">
        <is>
          <t>Asadi</t>
        </is>
      </c>
      <c r="B9" s="104" t="inlineStr">
        <is>
          <t>Zohreh</t>
        </is>
      </c>
      <c r="C9" s="92" t="n"/>
      <c r="D9" s="100" t="n"/>
      <c r="E9" s="102" t="n">
        <v>3</v>
      </c>
      <c r="F9" s="103" t="inlineStr">
        <is>
          <t>Medium size</t>
        </is>
      </c>
      <c r="G9" s="99" t="n"/>
      <c r="H9" s="99" t="n"/>
    </row>
    <row r="10">
      <c r="C10" s="105" t="n"/>
      <c r="D10" s="101" t="n"/>
      <c r="E10" s="102" t="n">
        <v>5</v>
      </c>
      <c r="F10" s="103" t="inlineStr">
        <is>
          <t>Large size</t>
        </is>
      </c>
      <c r="G10" s="96" t="n"/>
      <c r="H10" s="96" t="n"/>
    </row>
    <row r="11">
      <c r="A11" s="91">
        <f>'Project Team'!A5</f>
        <v/>
      </c>
      <c r="B11" s="91">
        <f>'Project Team'!B5</f>
        <v/>
      </c>
      <c r="C11" s="92" t="n"/>
      <c r="D11" s="100" t="n"/>
      <c r="E11" s="102" t="n">
        <v>8</v>
      </c>
      <c r="F11" s="103" t="inlineStr">
        <is>
          <t>Very large size</t>
        </is>
      </c>
      <c r="G11" s="99" t="n"/>
      <c r="H11" s="99" t="n"/>
    </row>
    <row r="12">
      <c r="A12" s="104">
        <f>'Project Team'!A6</f>
        <v/>
      </c>
      <c r="B12" s="104">
        <f>'Project Team'!B6</f>
        <v/>
      </c>
      <c r="C12" s="106" t="n"/>
      <c r="D12" s="101" t="n"/>
      <c r="E12" s="102" t="n">
        <v>13</v>
      </c>
      <c r="F12" s="103" t="inlineStr">
        <is>
          <t>Too large (size)</t>
        </is>
      </c>
      <c r="G12" s="96" t="n"/>
      <c r="H12" s="96" t="n"/>
    </row>
    <row r="13">
      <c r="C13" s="100" t="n"/>
      <c r="D13" s="100" t="n"/>
      <c r="E13" s="100" t="n"/>
      <c r="F13" s="100" t="n"/>
      <c r="G13" s="99" t="n"/>
      <c r="H13" s="99" t="n"/>
    </row>
    <row r="14">
      <c r="A14" s="108" t="inlineStr">
        <is>
          <t>How to play planning poker</t>
        </is>
      </c>
      <c r="B14" s="108" t="n"/>
      <c r="C14" s="108" t="n"/>
      <c r="D14" s="108" t="n"/>
      <c r="E14" s="108" t="n"/>
      <c r="F14" s="108" t="n"/>
      <c r="G14" s="108" t="n"/>
      <c r="H14" s="108" t="n"/>
    </row>
    <row r="15">
      <c r="A15" s="113" t="n"/>
      <c r="B15" s="113" t="n"/>
      <c r="C15" s="113" t="n"/>
      <c r="D15" s="113" t="n"/>
      <c r="E15" s="113" t="n"/>
      <c r="F15" s="113" t="n"/>
      <c r="G15" s="113" t="n"/>
      <c r="H15" s="113" t="n"/>
    </row>
    <row r="16">
      <c r="A16" s="111" t="inlineStr">
        <is>
          <t>1. Everyone type their number into their value field, don't hit return yet</t>
        </is>
      </c>
      <c r="B16" s="111" t="n"/>
      <c r="C16" s="111" t="n"/>
      <c r="D16" s="111" t="n"/>
      <c r="E16" s="111" t="n"/>
      <c r="F16" s="111" t="n"/>
      <c r="G16" s="111" t="n"/>
      <c r="H16" s="111" t="n"/>
    </row>
    <row r="17">
      <c r="A17" s="113" t="inlineStr">
        <is>
          <t>2. Someone, perhaps a product owner, count down 3.. 2.. 1..</t>
        </is>
      </c>
      <c r="B17" s="113" t="n"/>
      <c r="C17" s="113" t="n"/>
      <c r="D17" s="113" t="n"/>
      <c r="E17" s="113" t="n"/>
      <c r="F17" s="113" t="n"/>
      <c r="G17" s="113" t="n"/>
      <c r="H17" s="113" t="n"/>
    </row>
    <row r="18">
      <c r="A18" s="111" t="inlineStr">
        <is>
          <t>3. Then, everyone hit return to submit their value</t>
        </is>
      </c>
      <c r="B18" s="111" t="n"/>
      <c r="C18" s="111" t="n"/>
      <c r="D18" s="111" t="n"/>
      <c r="E18" s="111" t="n"/>
      <c r="F18" s="111" t="n"/>
      <c r="G18" s="111" t="n"/>
      <c r="H18" s="111" t="n"/>
    </row>
    <row r="19">
      <c r="A19" s="113" t="n"/>
      <c r="B19" s="113" t="n"/>
      <c r="C19" s="113" t="n"/>
      <c r="D19" s="113" t="n"/>
      <c r="E19" s="113" t="n"/>
      <c r="F19" s="113" t="n"/>
      <c r="G19" s="113" t="inlineStr">
        <is>
          <t>no cap yet</t>
        </is>
      </c>
      <c r="H19" s="113" t="n"/>
    </row>
    <row r="20">
      <c r="A20" s="111" t="n"/>
      <c r="B20" s="111" t="n"/>
      <c r="C20" s="111" t="n"/>
      <c r="D20" s="111" t="n"/>
      <c r="E20" s="111" t="n"/>
      <c r="F20" s="111" t="n"/>
      <c r="G20" s="111" t="n"/>
      <c r="H20" s="111" t="n"/>
    </row>
  </sheetData>
  <mergeCells count="2">
    <mergeCell ref="E2:E4"/>
    <mergeCell ref="F2:F4"/>
  </mergeCells>
  <printOptions horizontalCentered="1" gridLines="1"/>
  <pageMargins left="0.7" right="0.7" top="0.75" bottom="0.75" header="0" footer="0"/>
  <pageSetup orientation="landscape" paperSize="9" fitToHeight="0" pageOrder="overThenDown" cellComments="atEnd"/>
</worksheet>
</file>

<file path=xl/worksheets/sheet1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sheetData>
    <row r="1">
      <c r="A1" s="115" t="inlineStr">
        <is>
          <t>#</t>
        </is>
      </c>
      <c r="B1" s="115" t="inlineStr">
        <is>
          <t>Context</t>
        </is>
      </c>
      <c r="C1" s="115" t="inlineStr">
        <is>
          <t>Name</t>
        </is>
      </c>
      <c r="D1" s="115" t="inlineStr">
        <is>
          <t>Version</t>
        </is>
      </c>
      <c r="E1" s="115" t="inlineStr">
        <is>
          <t>License</t>
        </is>
      </c>
      <c r="F1" s="115" t="inlineStr">
        <is>
          <t>Status</t>
        </is>
      </c>
    </row>
    <row r="2">
      <c r="A2" t="inlineStr">
        <is>
          <t>1</t>
        </is>
      </c>
      <c r="B2" t="inlineStr">
        <is>
          <t>Frontend (React UI)</t>
        </is>
      </c>
      <c r="C2" t="inlineStr">
        <is>
          <t>npm:react</t>
        </is>
      </c>
      <c r="D2" t="inlineStr">
        <is>
          <t>18.3.1</t>
        </is>
      </c>
      <c r="E2" t="inlineStr">
        <is>
          <t>MIT</t>
        </is>
      </c>
      <c r="F2" t="inlineStr">
        <is>
          <t>In Use</t>
        </is>
      </c>
    </row>
    <row r="3">
      <c r="A3" t="inlineStr">
        <is>
          <t>2</t>
        </is>
      </c>
      <c r="B3" t="inlineStr">
        <is>
          <t>Frontend (React UI)</t>
        </is>
      </c>
      <c r="C3" t="inlineStr">
        <is>
          <t>npm:react-dom</t>
        </is>
      </c>
      <c r="D3" t="inlineStr">
        <is>
          <t>18.3.1</t>
        </is>
      </c>
      <c r="E3" t="inlineStr">
        <is>
          <t>MIT</t>
        </is>
      </c>
      <c r="F3" t="inlineStr">
        <is>
          <t>In Use</t>
        </is>
      </c>
    </row>
    <row r="4">
      <c r="A4" t="inlineStr">
        <is>
          <t>3</t>
        </is>
      </c>
      <c r="B4" t="inlineStr">
        <is>
          <t>Frontend Dev Tooling</t>
        </is>
      </c>
      <c r="C4" t="inlineStr">
        <is>
          <t>npm:@types/react</t>
        </is>
      </c>
      <c r="D4" t="inlineStr">
        <is>
          <t>18.3.12</t>
        </is>
      </c>
      <c r="E4" t="inlineStr">
        <is>
          <t>MIT</t>
        </is>
      </c>
      <c r="F4" t="inlineStr">
        <is>
          <t>Development</t>
        </is>
      </c>
    </row>
    <row r="5">
      <c r="A5" t="inlineStr">
        <is>
          <t>4</t>
        </is>
      </c>
      <c r="B5" t="inlineStr">
        <is>
          <t>Frontend Dev Tooling</t>
        </is>
      </c>
      <c r="C5" t="inlineStr">
        <is>
          <t>npm:@types/react-dom</t>
        </is>
      </c>
      <c r="D5" t="inlineStr">
        <is>
          <t>18.3.1</t>
        </is>
      </c>
      <c r="E5" t="inlineStr">
        <is>
          <t>MIT</t>
        </is>
      </c>
      <c r="F5" t="inlineStr">
        <is>
          <t>Development</t>
        </is>
      </c>
    </row>
    <row r="6">
      <c r="A6" t="inlineStr">
        <is>
          <t>5</t>
        </is>
      </c>
      <c r="B6" t="inlineStr">
        <is>
          <t>Frontend Dev Tooling</t>
        </is>
      </c>
      <c r="C6" t="inlineStr">
        <is>
          <t>npm:@vitejs/plugin-react</t>
        </is>
      </c>
      <c r="D6" t="inlineStr">
        <is>
          <t>4.3.4</t>
        </is>
      </c>
      <c r="E6" t="inlineStr">
        <is>
          <t>MIT</t>
        </is>
      </c>
      <c r="F6" t="inlineStr">
        <is>
          <t>Development</t>
        </is>
      </c>
    </row>
    <row r="7">
      <c r="A7" t="inlineStr">
        <is>
          <t>6</t>
        </is>
      </c>
      <c r="B7" t="inlineStr">
        <is>
          <t>Frontend Dev Tooling</t>
        </is>
      </c>
      <c r="C7" t="inlineStr">
        <is>
          <t>npm:typescript</t>
        </is>
      </c>
      <c r="D7" t="inlineStr">
        <is>
          <t>5.6.3</t>
        </is>
      </c>
      <c r="E7" t="inlineStr">
        <is>
          <t>Apache-2.0</t>
        </is>
      </c>
      <c r="F7" t="inlineStr">
        <is>
          <t>Development</t>
        </is>
      </c>
    </row>
    <row r="8">
      <c r="A8" t="inlineStr">
        <is>
          <t>7</t>
        </is>
      </c>
      <c r="B8" t="inlineStr">
        <is>
          <t>Frontend Dev Tooling</t>
        </is>
      </c>
      <c r="C8" t="inlineStr">
        <is>
          <t>npm:vite</t>
        </is>
      </c>
      <c r="D8" t="inlineStr">
        <is>
          <t>6.0.3</t>
        </is>
      </c>
      <c r="E8" t="inlineStr">
        <is>
          <t>MIT</t>
        </is>
      </c>
      <c r="F8" t="inlineStr">
        <is>
          <t>Development</t>
        </is>
      </c>
    </row>
    <row r="9">
      <c r="A9" t="inlineStr">
        <is>
          <t>8</t>
        </is>
      </c>
      <c r="B9" t="inlineStr">
        <is>
          <t>Frontend Dev Tooling</t>
        </is>
      </c>
      <c r="C9" t="inlineStr">
        <is>
          <t>npm:vitest</t>
        </is>
      </c>
      <c r="D9" t="inlineStr">
        <is>
          <t>2.1.5</t>
        </is>
      </c>
      <c r="E9" t="inlineStr">
        <is>
          <t>MIT</t>
        </is>
      </c>
      <c r="F9" t="inlineStr">
        <is>
          <t>Development</t>
        </is>
      </c>
    </row>
    <row r="10">
      <c r="A10" t="inlineStr">
        <is>
          <t>9</t>
        </is>
      </c>
      <c r="B10" t="inlineStr">
        <is>
          <t>Frontend Dev Tooling</t>
        </is>
      </c>
      <c r="C10" t="inlineStr">
        <is>
          <t>npm:prettier</t>
        </is>
      </c>
      <c r="D10" t="inlineStr">
        <is>
          <t>3.4.2</t>
        </is>
      </c>
      <c r="E10" t="inlineStr">
        <is>
          <t>MIT</t>
        </is>
      </c>
      <c r="F10" t="inlineStr">
        <is>
          <t>Development</t>
        </is>
      </c>
    </row>
    <row r="11">
      <c r="A11" t="inlineStr">
        <is>
          <t>10</t>
        </is>
      </c>
      <c r="B11" t="inlineStr">
        <is>
          <t>Frontend Dev Tooling</t>
        </is>
      </c>
      <c r="C11" t="inlineStr">
        <is>
          <t>npm:eslint</t>
        </is>
      </c>
      <c r="D11" t="inlineStr">
        <is>
          <t>9.17.0</t>
        </is>
      </c>
      <c r="E11" t="inlineStr">
        <is>
          <t>MIT</t>
        </is>
      </c>
      <c r="F11" t="inlineStr">
        <is>
          <t>Development</t>
        </is>
      </c>
    </row>
    <row r="12">
      <c r="A12" t="inlineStr">
        <is>
          <t>11</t>
        </is>
      </c>
      <c r="B12" t="inlineStr">
        <is>
          <t>Frontend Dev Tooling</t>
        </is>
      </c>
      <c r="C12" t="inlineStr">
        <is>
          <t>npm:@typescript-eslint/eslint-plugin</t>
        </is>
      </c>
      <c r="D12" t="inlineStr">
        <is>
          <t>8.16.0</t>
        </is>
      </c>
      <c r="E12" t="inlineStr">
        <is>
          <t>MIT</t>
        </is>
      </c>
      <c r="F12" t="inlineStr">
        <is>
          <t>Development</t>
        </is>
      </c>
    </row>
    <row r="13">
      <c r="A13" t="inlineStr">
        <is>
          <t>12</t>
        </is>
      </c>
      <c r="B13" t="inlineStr">
        <is>
          <t>Frontend Dev Tooling</t>
        </is>
      </c>
      <c r="C13" t="inlineStr">
        <is>
          <t>npm:@typescript-eslint/parser</t>
        </is>
      </c>
      <c r="D13" t="inlineStr">
        <is>
          <t>8.16.0</t>
        </is>
      </c>
      <c r="E13" t="inlineStr">
        <is>
          <t>BSD-2-Clause</t>
        </is>
      </c>
      <c r="F13" t="inlineStr">
        <is>
          <t>Development</t>
        </is>
      </c>
    </row>
    <row r="14">
      <c r="A14" t="inlineStr">
        <is>
          <t>13</t>
        </is>
      </c>
      <c r="B14" t="inlineStr">
        <is>
          <t>Backend (FastAPI API)</t>
        </is>
      </c>
      <c r="C14" t="inlineStr">
        <is>
          <t>pypi:fastapi</t>
        </is>
      </c>
      <c r="D14" t="inlineStr">
        <is>
          <t>0.115.10</t>
        </is>
      </c>
      <c r="E14" t="inlineStr">
        <is>
          <t>MIT License</t>
        </is>
      </c>
      <c r="F14" t="inlineStr">
        <is>
          <t>In Use</t>
        </is>
      </c>
    </row>
    <row r="15">
      <c r="A15" t="inlineStr">
        <is>
          <t>14</t>
        </is>
      </c>
      <c r="B15" t="inlineStr">
        <is>
          <t>WebRTC Signaling</t>
        </is>
      </c>
      <c r="C15" t="inlineStr">
        <is>
          <t>pypi:aiortc</t>
        </is>
      </c>
      <c r="D15" t="inlineStr">
        <is>
          <t>1.14.0</t>
        </is>
      </c>
      <c r="E15" t="inlineStr">
        <is>
          <t>NOASSERTION</t>
        </is>
      </c>
      <c r="F15" t="inlineStr">
        <is>
          <t>In Use</t>
        </is>
      </c>
    </row>
    <row r="16">
      <c r="A16" t="inlineStr">
        <is>
          <t>15</t>
        </is>
      </c>
      <c r="B16" t="inlineStr">
        <is>
          <t>WebRTC Signaling</t>
        </is>
      </c>
      <c r="C16" t="inlineStr">
        <is>
          <t>pypi:av</t>
        </is>
      </c>
      <c r="D16" t="inlineStr">
        <is>
          <t>16.0.1</t>
        </is>
      </c>
      <c r="E16" t="inlineStr">
        <is>
          <t>NOASSERTION</t>
        </is>
      </c>
      <c r="F16" t="inlineStr">
        <is>
          <t>In Use</t>
        </is>
      </c>
    </row>
    <row r="17">
      <c r="A17" t="inlineStr">
        <is>
          <t>16</t>
        </is>
      </c>
      <c r="B17" t="inlineStr">
        <is>
          <t>Backend (FastAPI API)</t>
        </is>
      </c>
      <c r="C17" t="inlineStr">
        <is>
          <t>pypi:pydantic</t>
        </is>
      </c>
      <c r="D17" t="inlineStr">
        <is>
          <t>2.12.3</t>
        </is>
      </c>
      <c r="E17" t="inlineStr">
        <is>
          <t>NOASSERTION</t>
        </is>
      </c>
      <c r="F17" t="inlineStr">
        <is>
          <t>In Use</t>
        </is>
      </c>
    </row>
    <row r="18">
      <c r="A18" t="inlineStr">
        <is>
          <t>17</t>
        </is>
      </c>
      <c r="B18" t="inlineStr">
        <is>
          <t>Backend (FastAPI API)</t>
        </is>
      </c>
      <c r="C18" t="inlineStr">
        <is>
          <t>pypi:uvicorn</t>
        </is>
      </c>
      <c r="D18" t="inlineStr">
        <is>
          <t>0.38.0</t>
        </is>
      </c>
      <c r="E18" t="inlineStr">
        <is>
          <t>NOASSERTION</t>
        </is>
      </c>
      <c r="F18" t="inlineStr">
        <is>
          <t>In Use</t>
        </is>
      </c>
    </row>
    <row r="19">
      <c r="A19" t="inlineStr">
        <is>
          <t>18</t>
        </is>
      </c>
      <c r="B19" t="inlineStr">
        <is>
          <t>Image Analysis (Python)</t>
        </is>
      </c>
      <c r="C19" t="inlineStr">
        <is>
          <t>pypi:opencv-python</t>
        </is>
      </c>
      <c r="D19" t="inlineStr">
        <is>
          <t>4.9.0.80</t>
        </is>
      </c>
      <c r="E19" t="inlineStr">
        <is>
          <t>Apache 2.0</t>
        </is>
      </c>
      <c r="F19" t="inlineStr">
        <is>
          <t>In Use</t>
        </is>
      </c>
    </row>
    <row r="20">
      <c r="A20" t="inlineStr">
        <is>
          <t>19</t>
        </is>
      </c>
      <c r="B20" t="inlineStr">
        <is>
          <t>Image Analysis (Python)</t>
        </is>
      </c>
      <c r="C20" t="inlineStr">
        <is>
          <t>pypi:numpy</t>
        </is>
      </c>
      <c r="D20" t="inlineStr">
        <is>
          <t>1.26.4</t>
        </is>
      </c>
      <c r="E20" t="inlineStr">
        <is>
          <t>Copyright (c) 2005-2023, NumPy Developers. All rights reserved.  Redistribution and use in source and binary forms, with or without modification, are permitted provided that the following conditions are met:  * Redistributions of source code must retain the above copyright notice, this list of conditions and the following disclaimer.  * Redistributions in binary form must reproduce the above copyright notice, this list of conditions and the following disclaimer in the documentation and/or other materials provided with the distribution.  * Neither the name of the NumPy Developers nor the names of any contributors may be used to endorse or promote products derived from this software without specific prior written permission.  THIS SOFTWARE IS PROVIDED BY THE COPYRIGHT HOLDERS AND CONTRIBUTORS "AS IS" AND ANY EXPRESS OR IMPLIED WARRANTIES, INCLUDING, BUT NOT LIMITED TO, THE IMPLIED WARRANTIES OF MERCHANTABILITY AND FITNESS FOR A PARTICULAR PURPOSE ARE DISCLAIMED. IN NO EVENT SHALL THE COPYRIGHT OWNER OR CONTRIBUTORS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  ----  The NumPy repository and source distributions bundle several libraries that are compatibly licensed.  We list these here.  Name: lapack-lite Files: numpy/linalg/lapack_lite/* License: BSD-3-Clause For details, see numpy/linalg/lapack_lite/LICENSE.txt  Name: tempita Files: tools/npy_tempita/* License: MIT For details, see tools/npy_tempita/license.txt  Name: dragon4 Files: numpy/core/src/multiarray/dragon4.c License: MIT For license text, see numpy/core/src/multiarray/dragon4.c  Name: libdivide Files: numpy/core/include/numpy/libdivide/* License: Zlib For license text, see numpy/core/include/numpy/libdivide/LICENSE.txt   Note that the following files are vendored in the repository and sdist but not installed in built numpy packages:  Name: Meson Files: vendored-meson/meson/* License: Apache 2.0 For license text, see vendored-meson/meson/COPYING  Name: spin Files: .spin/cmds.py License: BSD-3 For license text, see .spin/LICENSE  ----  This binary distribution of NumPy also bundles the following software:  Name: OpenBLAS Files: numpy/.dylibs/libopenblas*.so Description: bundled as a dynamically linked library Availability: https://github.com/OpenMathLib/OpenBLAS/ License: BSD-3-Clause Copyright (c) 2011-2014, The OpenBLAS Project All rights reserved.  Redistribution and use in source and binary forms, with or without modification, are permitted provided that the following conditions are met:  1. Redistributions of source code must retain the above copyright notice, this list of conditions and the following disclaimer.  2. Redistributions in binary form must reproduce the above copyright notice, this list of conditions and the following disclaimer in the documentation and/or other materials provided with the distribution. 3. Neither the name of the OpenBLAS project nor the names of its contributors may be used to endorse or promote products derived from this software without specific prior written permission.  THIS SOFTWARE IS PROVIDED BY THE COPYRIGHT HOLDERS AND CONTRIBUTORS "AS IS" AND ANY EXPRESS OR IMPLIED WARRANTIES, INCLUDING, BUT NOT LIMITED TO, THE IMPLIED WARRANTIES OF MERCHANTABILITY AND FITNESS FOR A PARTICULAR PURPOSE ARE DISCLAIMED. IN NO EVENT SHALL THE COPYRIGHT OWNER OR CONTRIBUTORS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   Name: LAPACK Files: numpy/.dylibs/libopenblas*.so Description: bundled in OpenBLAS Availability: https://github.com/OpenMathLib/OpenBLAS/ License: BSD-3-Clause-Attribution Copyright (c) 1992-2013 The University of Tennessee and The University of Tennessee Research Foundation.  All rights reserved. Copyright (c) 2000-2013 The University of California Berkeley. All rights reserved. Copyright (c) 2006-2013 The University of Colorado Denver.  All rights reserved.  $COPYRIGHT$  Additional copyrights may follow  $HEADER$  Redistribution and use in source and binary forms, with or without modification, are permitted provided that the following conditions are met:  - Redistributions of source code must retain the above copyright notice, this list of conditions and the following disclaimer.  - Redistributions in binary form must reproduce the above copyright notice, this list of conditions and the following disclaimer listed in this license in the documentation and/or other materials provided with the distribution.  - Neither the name of the copyright holders nor the names of its contributors may be used to endorse or promote products derived from this software without specific prior written permission.  The copyright holders provide no reassurances that the source code provided does not infringe any patent, copyright, or any other intellectual property rights of third parties.  The copyright holders disclaim any liability to any recipient for claims brought against recipient by any third party for infringement of that parties intellectual property rights.  THIS SOFTWARE IS PROVIDED BY THE COPYRIGHT HOLDERS AND CONTRIBUTORS "AS IS" AND ANY EXPRESS OR IMPLIED WARRANTIES, INCLUDING, BUT NOT LIMITED TO, THE IMPLIED WARRANTIES OF MERCHANTABILITY AND FITNESS FOR A PARTICULAR PURPOSE ARE DISCLAIMED. IN NO EVENT SHALL THE COPYRIGHT OWNER OR CONTRIBUTORS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   Name: GCC runtime library Files: numpy/.dylibs/libgfortran*, numpy/.dylibs/libgcc* Description: dynamically linked to files compiled with gcc Availability: https://gcc.gnu.org/git/?p=gcc.git;a=tree;f=libgfortran License: GPL-3.0-with-GCC-exception Copyright (C) 2002-2017 Free Software Foundation, Inc.  Libgfortran is free software; you can redistribute it and/or modify it under the terms of the GNU General Public License as published by the Free Software Foundation; either version 3, or (at your option) any later version.  Libgfortran is distributed in the hope that it will be useful, but WITHOUT ANY WARRANTY; without even the implied warranty of MERCHANTABILITY or FITNESS FOR A PARTICULAR PURPOSE.  See the GNU General Public License for more details.  Under Section 7 of GPL version 3, you are granted additional permissions described in the GCC Runtime Library Exception, version 3.1, as published by the Free Software Foundation.  You should have received a copy of the GNU General Public License and a copy of the GCC Runtime Library Exception along with this program; see the files COPYING3 and COPYING.RUNTIME respectively.  If not, see &lt;http://www.gnu.org/licenses/&gt;.  ----  Full text of license texts referred to above follows (that they are listed below does not necessarily imply the conditions apply to the present binary release):  ----  GCC RUNTIME LIBRARY EXCEPTION  Version 3.1, 31 March 2009  Copyright (C) 2009 Free Software Foundation, Inc. &lt;http://fsf.org/&gt;  Everyone is permitted to copy and distribute verbatim copies of this license document, but changing it is not allowed.  This GCC Runtime Library Exception ("Exception") is an additional permission under section 7 of the GNU General Public License, version 3 ("GPLv3"). It applies to a given file (the "Runtime Library") that bears a notice placed by the copyright holder of the file stating that the file is governed by GPLv3 along with this Exception.  When you use GCC to compile a program, GCC may combine portions of certain GCC header files and runtime libraries with the compiled program. The purpose of this Exception is to allow compilation of non-GPL (including proprietary) programs to use, in this way, the header files and runtime libraries covered by this Exception.  0. Definitions.  A file is an "Independent Module" if it either requires the Runtime Library for execution after a Compilation Process, or makes use of an interface provided by the Runtime Library, but is not otherwise based on the Runtime Library.  "GCC" means a version of the GNU Compiler Collection, with or without modifications, governed by version 3 (or a specified later version) of the GNU General Public License (GPL) with the option of using any subsequent versions published by the FSF.  "GPL-compatible Software" is software whose conditions of propagation, modification and use would permit combination with GCC in accord with the license of GCC.  "Target Code" refers to output from any compiler for a real or virtual target processor architecture, in executable form or suitable for input to an assembler, loader, linker and/or execution phase. Notwithstanding that, Target Code does not include data in any format that is used as a compiler intermediate representation, or used for producing a compiler intermediate representation.  The "Compilation Process" transforms code entirely represented in non-intermediate languages designed for human-written code, and/or in Java Virtual Machine byte code, into Target Code. Thus, for example, use of source code generators and preprocessors need not be considered part of the Compilation Process, since the Compilation Process can be understood as starting with the output of the generators or preprocessors.  A Compilation Process is "Eligible" if it is done using GCC, alone or with other GPL-compatible software, or if it is done without using any work based on GCC. For example, using non-GPL-compatible Software to optimize any GCC intermediate representations would not qualify as an Eligible Compilation Process.  1. Grant of Additional Permission.  You have permission to propagate a work of Target Code formed by combining the Runtime Library with Independent Modules, even if such propagation would otherwise violate the terms of GPLv3, provided that all Target Code was generated by Eligible Compilation Processes. You may then convey such a combination under terms of your choice, consistent with the licensing of the Independent Modules.  2. No Weakening of GCC Copyleft.  The availability of this Exception does not imply any general presumption that third-party software is unaffected by the copyleft requirements of the license of GCC.  ----  GNU GENERAL PUBLIC LICENSE Version 3, 29 June 2007  Copyright (C) 2007 Free Software Foundation, Inc. &lt;http://fsf.org/&gt; Everyone is permitted to copy and distribute verbatim copies of this license document, but changing it is not allowed.  Preamble  The GNU General Public License is a free, copyleft license for software and other kinds of works.  The licenses for most software and other practical works are designed to take away your freedom to share and change the works.  By contrast, the GNU General Public License is intended to guarantee your freedom to share and change all versions of a program--to make sure it remains free software for all its users.  We, the Free Software Foundation, use the GNU General Public License for most of our software; it applies also to any other work released this way by its authors.  You can apply it to your programs, too.  When we speak of free software, we are referring to freedom, not price.  Our General Public Licenses are designed to make sure that you have the freedom to distribute copies of free software (and charge for them if you wish), that you receive source code or can get it if you want it, that you can change the software or use pieces of it in new free programs, and that you know you can do these things.  To protect your rights, we need to prevent others from denying you these rights or asking you to surrender the rights.  Therefore, you have certain responsibilities if you distribute copies of the software, or if you modify it: responsibilities to respect the freedom of others.  For example, if you distribute copies of such a program, whether gratis or for a fee, you must pass on to the recipients the same freedoms that you received.  You must make sure that they, too, receive or can get the source code.  And you must show them these terms so they know their rights.  Developers that use the GNU GPL protect your rights with two steps: (1) assert copyright on the software, and (2) offer you this License giving you legal permission to copy, distribute and/or modify it.  For the developers' and authors' protection, the GPL clearly explains that there is no warranty for this free software.  For both users' and authors' sake, the GPL requires that modified versions be marked as changed, so that their problems will not be attributed erroneously to authors of previous versions.  Some devices are designed to deny users access to install or run modified versions of the software inside them, although the manufacturer can do so.  This is fundamentally incompatible with the aim of protecting users' freedom to change the software.  The systematic pattern of such abuse occurs in the area of products for individuals to use, which is precisely where it is most unacceptable.  Therefore, we have designed this version of the GPL to prohibit the practice for those products.  If such problems arise substantially in other domains, we stand ready to extend this provision to those domains in future versions of the GPL, as needed to protect the freedom of users.  Finally, every program is threatened constantly by software patents. States should not allow patents to restrict development and use of software on general-purpose computers, but in those that do, we wish to avoid the special danger that patents applied to a free program could make it effectively proprietary.  To prevent this, the GPL assures that patents cannot be used to render the program non-free.  The precise terms and conditions for copying, distribution and modification follow.  TERMS AND CONDITIONS  0. Definitions.  "This License" refers to version 3 of the GNU General Public License.  "Copyright" also means copyright-like laws that apply to other kinds of works, such as semiconductor masks.  "The Program" refers to any copyrightable work licensed under this License.  Each licensee is addressed as "you".  "Licensees" and "recipients" may be individuals or organizations.  To "modify" a work means to copy from or adapt all or part of the work in a fashion requiring copyright permission, other than the making of an exact copy.  The resulting work is called a "modified version" of the earlier work or a work "based on" the earlier work.  A "covered work" means either the unmodified Program or a work based on the Program.  To "propagate" a work means to do anything with it that, without permission, would make you directly or secondarily liable for infringement under applicable copyright law, except executing it on a computer or modifying a private copy.  Propagation includes copying, distribution (with or without modification), making available to the public, and in some countries other activities as well.  To "convey" a work means any kind of propagation that enables other parties to make or receive copies.  Mere interaction with a user through a computer network, with no transfer of a copy, is not conveying.  An interactive user interface displays "Appropriate Legal Notices" to the extent that it includes a convenient and prominently visible feature that (1) displays an appropriate copyright notice, and (2) tells the user that there is no warranty for the work (except to the extent that warranties are provided), that licensees may convey the work under this License, and how to view a copy of this License.  If the interface presents a list of user commands or options, such as a menu, a prominent item in the list meets this criterion.  1. Source Code.  The "source code" for a work means the preferred form of the work for making modifications to it.  "Object code" means any non-source form of a work.  A "Standard Interface" means an interface that either is an official standard defined by a recognized standards body, or, in the case of interfaces specified for a particular programming language, one that is widely used among developers working in that language.  The "System Libraries" of an executable work include anything, other than the work as a whole, that (a) is included in the normal form of packaging a Major Component, but which is not part of that Major Component, and (b) serves only to enable use of the work with that Major Component, or to implement a Standard Interface for which an implementation is available to the public in source code form.  A "Major Component", in this context, means a major essential component (kernel, window system, and so on) of the specific operating system (if any) on which the executable work runs, or a compiler used to produce the work, or an object code interpreter used to run it.  The "Corresponding Source" for a work in object code form means all the source code needed to generate, install, and (for an executable work) run the object code and to modify the work, including scripts to control those activities.  However, it does not include the work's System Libraries, or general-purpose tools or generally available free programs which are used unmodified in performing those activities but which are not part of the work.  For example, Corresponding Source includes interface definition files associated with source files for the work, and the source code for shared libraries and dynamically linked subprograms that the work is specifically designed to require, such as by intimate data communication or control flow between those subprograms and other parts of the work.  The Corresponding Source need not include anything that users can regenerate automatically from other parts of the Corresponding Source.  The Corresponding Source for a work in source code form is that same work.  2. Basic Permissions.  All rights granted under this License are granted for the term of copyright on the Program, and are irrevocable provided the stated conditions are met.  This License explicitly affirms your unlimited permission to run the unmodified Program.  The output from running a covered work is covered by this License only if the output, given its content, constitutes a covered work.  This License acknowledges your rights of fair use or other equivalent, as provided by copyright law.  You may make, run and propagate covered works that you do not convey, without conditions so long as your license otherwise remains in force.  You may convey covered works to others for the sole purpose of having them make modifications exclusively for you, or provide you with facilities for running those works, provided that you comply with the terms of this License in conveying all material for which you do not control copyright.  Those thus making or running the covered works for you must do so exclusively on your behalf, under your direction and control, on terms that prohibit them from making any copies of your copyrighted material outside their relationship with you.  Conveying under any other circumstances is permitted solely under the conditions stated below.  Sublicensing is not allowed; section 10 makes it unnecessary.  3. Protecting Users' Legal Rights From Anti-Circumvention Law.  No covered work shall be deemed part of an effective technological measure under any applicable law fulfilling obligations under article 11 of the WIPO copyright treaty adopted on 20 December 1996, or similar laws prohibiting or restricting circumvention of such measures.  When you convey a covered work, you waive any legal power to forbid circumvention of technological measures to the extent such circumvention is effected by exercising rights under this License with respect to the covered work, and you disclaim any intention to limit operation or modification of the work as a means of enforcing, against the work's users, your or third parties' legal rights to forbid circumvention of technological measures.  4. Conveying Verbatim Copies.  You may convey verbatim copies of the Program's source code as you receive it, in any medium, provided that you conspicuously and appropriately publish on each copy an appropriate copyright notice; keep intact all notices stating that this License and any non-permissive terms added in accord with section 7 apply to the code; keep intact all notices of the absence of any warranty; and give all recipients a copy of this License along with the Program.  You may charge any price or no price for each copy that you convey, and you may offer support or warranty protection for a fee.  5. Conveying Modified Source Versions.  You may convey a work based on the Program, or the modifications to produce it from the Program, in the form of source code under the terms of section 4, provided that you also meet all of these conditions:  a) The work must carry prominent notices stating that you modified it, and giving a relevant date.  b) The work must carry prominent notices stating that it is released under this License and any conditions added under section 7.  This requirement modifies the requirement in section 4 to "keep intact all notices".  c) You must license the entire work, as a whole, under this License to anyone who comes into possession of a copy.  This License will therefore apply, along with any applicable section 7 additional terms, to the whole of the work, and all its parts, regardless of how they are packaged.  This License gives no permission to license the work in any other way, but it does not invalidate such permission if you have separately received it.  d) If the work has interactive user interfaces, each must display Appropriate Legal Notices; however, if the Program has interactive interfaces that do not display Appropriate Legal Notices, your work need not make them do so.  A compilation of a covered work with other separate and independent works, which are not by their nature extensions of the covered work, and which are not combined with it such as to form a larger program, in or on a volume of a storage or distribution medium, is called an "aggregate" if the compilation and its resulting copyright are not used to limit the access or legal rights of the compilation's users beyond what the individual works permit.  Inclusion of a covered work in an aggregate does not cause this License to apply to the other parts of the aggregate.  6. Conveying Non-Source Forms.  You may convey a covered work in object code form under the terms of sections 4 and 5, provided that you also convey the machine-readable Corresponding Source under the terms of this License, in one of these ways:  a) Convey the object code in, or embodied in, a physical product (including a physical distribution medium), accompanied by the Corresponding Source fixed on a durable physical medium customarily used for software interchange.  b) Convey the object code in, or embodied in, a physical product (including a physical distribution medium), accompanied by a written offer, valid for at least three years and valid for as long as you offer spare parts or customer support for that product model, to give anyone who possesses the object code either (1) a copy of the Corresponding Source for all the software in the product that is covered by this License, on a durable physical medium customarily used for software interchange, for a price no more than your reasonable cost of physically performing this conveying of source, or (2) access to copy the Corresponding Source from a network server at no charge.  c) Convey individual copies of the object code with a copy of the written offer to provide the Corresponding Source.  This alternative is allowed only occasionally and noncommercially, and only if you received the object code with such an offer, in accord with subsection 6b.  d) Convey the object code by offering access from a designated place (gratis or for a charge), and offer equivalent access to the Corresponding Source in the same way through the same place at no further charge.  You need not require recipients to copy the Corresponding Source along with the object code.  If the place to copy the object code is a network server, the Corresponding Source may be on a different server (operated by you or a third party) that supports equivalent copying facilities, provided you maintain clear directions next to the object code saying where to find the Corresponding Source.  Regardless of what server hosts the Corresponding Source, you remain obligated to ensure that it is available for as long as needed to satisfy these requirements.  e) Convey the object code using peer-to-peer transmission, provided you inform other peers where the object code and Corresponding Source of the work are being offered to the general public at no charge under subsection 6d.  A separable portion of the object code, whose source code is excluded from the Corresponding Source as a System Library, need not be included in conveying the object code work.  A "User Product" is either (1) a "consumer product", which means any tangible personal property which is normally used for personal, family, or household purposes, or (2) anything designed or sold for incorporation into a dwelling.  In determining whether a product is a consumer product, doubtful cases shall be resolved in favor of coverage.  For a particular product received by a particular user, "normally used" refers to a typical or common use of that class of product, regardless of the status of the particular user or of the way in which the particular user actually uses, or expects or is expected to use, the product.  A product is a consumer product regardless of whether the product has substantial commercial, industrial or non-consumer uses, unless such uses represent the only significant mode of use of the product.  "Installation Information" for a User Product means any methods, procedures, authorization keys, or other information required to install and execute modified versions of a covered work in that User Product from a modified version of its Corresponding Source.  The information must suffice to ensure that the continued functioning of the modified object code is in no case prevented or interfered with solely because modification has been made.  If you convey an object code work under this section in, or with, or specifically for use in, a User Product, and the conveying occurs as part of a transaction in which the right of possession and use of the User Product is transferred to the recipient in perpetuity or for a fixed term (regardless of how the transaction is characterized), the Corresponding Source conveyed under this section must be accompanied by the Installation Information.  But this requirement does not apply if neither you nor any third party retains the ability to install modified object code on the User Product (for example, the work has been installed in ROM).  The requirement to provide Installation Information does not include a requirement to continue to provide support service, warranty, or updates for a work that has been modified or installed by the recipient, or for the User Product in which it has been modified or installed.  Access to a network may be denied when the modification itself materially and adversely affects the operation of the network or violates the rules and protocols for communication across the network.  Corresponding Source conveyed, and Installation Information provided, in accord with this section must be in a format that is publicly documented (and with an implementation available to the public in source code form), and must require no special password or key for unpacking, reading or copying.  7. Additional Terms.  "Additional permissions" are terms that supplement the terms of this License by making exceptions from one or more of its conditions. Additional permissions that are applicable to the entire Program shall be treated as though they were included in this License, to the extent that they are valid under applicable law.  If additional permissions apply only to part of the Program, that part may be used separately under those permissions, but the entire Program remains governed by this License without regard to the additional permissions.  When you convey a copy of a covered work, you may at your option remove any additional permissions from that copy, or from any part of it.  (Additional permissions may be written to require their own removal in certain cases when you modify the work.)  You may place additional permissions on material, added by you to a covered work, for which you have or can give appropriate copyright permission.  Notwithstanding any other provision of this License, for material you add to a covered work, you may (if authorized by the copyright holders of that material) supplement the terms of this License with terms:  a) Disclaiming warranty or limiting liability differently from the terms of sections 15 and 16 of this License; or  b) Requiring preservation of specified reasonable legal notices or author attributions in that material or in the Appropriate Legal Notices displayed by works containing it; or  c) Prohibiting misrepresentation of the origin of that material, or requiring that modified versions of such material be marked in reasonable ways as different from the original version; or  d) Limiting the use for publicity purposes of names of licensors or authors of the material; or  e) Declining to grant rights under trademark law for use of some trade names, trademarks, or service marks; or  f) Requiring indemnification of licensors and authors of that material by anyone who conveys the material (or modified versions of it) with contractual assumptions of liability to the recipient, for any liability that these contractual assumptions directly impose on those licensors and authors.  All other non-permissive additional terms are considered "further restrictions" within the meaning of section 10.  If the Program as you received it, or any part of it, contains a notice stating that it is governed by this License along with a term that is a further restriction, you may remove that term.  If a license document contains a further restriction but permits relicensing or conveying under this License, you may add to a covered work material governed by the terms of that license document, provided that the further restriction does not survive such relicensing or conveying.  If you add terms to a covered work in accord with this section, you must place, in the relevant source files, a statement of the additional terms that apply to those files, or a notice indicating where to find the applicable terms.  Additional terms, permissive or non-permissive, may be stated in the form of a separately written license, or stated as exceptions; the above requirements apply either way.  8. Termination.  You may not propagate or modify a covered work except as expressly provided under this License.  Any attempt otherwise to propagate or modify it is void, and will automatically terminate your rights under this License (including any patent licenses granted under the third paragraph of section 11).  However, if you cease all violation of this License, then your license from a particular copyright holder is reinstated (a) provisionally, unless and until the copyright holder explicitly and finally terminates your license, and (b) permanently, if the copyright holder fails to notify you of the violation by some reasonable means prior to 60 days after the cessation.  Moreover, your license from a particular copyright holder is reinstated permanently if the copyright holder notifies you of the violation by some reasonable means, this is the first time you have received notice of violation of this License (for any work) from that copyright holder, and you cure the violation pri</t>
        </is>
      </c>
      <c r="F20" t="inlineStr">
        <is>
          <t>In Use</t>
        </is>
      </c>
    </row>
    <row r="21">
      <c r="A21" t="inlineStr">
        <is>
          <t>20</t>
        </is>
      </c>
      <c r="B21" t="inlineStr">
        <is>
          <t>Image Analysis (Python)</t>
        </is>
      </c>
      <c r="C21" t="inlineStr">
        <is>
          <t>pypi:ultralytics</t>
        </is>
      </c>
      <c r="D21" t="inlineStr">
        <is>
          <t>8.3.58</t>
        </is>
      </c>
      <c r="E21" t="inlineStr">
        <is>
          <t>AGPL-3.0</t>
        </is>
      </c>
      <c r="F21" t="inlineStr">
        <is>
          <t>In Use</t>
        </is>
      </c>
    </row>
    <row r="22">
      <c r="A22" t="inlineStr">
        <is>
          <t>21</t>
        </is>
      </c>
      <c r="B22" t="inlineStr">
        <is>
          <t>Image Analysis (Python)</t>
        </is>
      </c>
      <c r="C22" t="inlineStr">
        <is>
          <t>pypi:timm</t>
        </is>
      </c>
      <c r="D22" t="inlineStr">
        <is>
          <t>1.0.22</t>
        </is>
      </c>
      <c r="E22" t="inlineStr">
        <is>
          <t>Apache-2.0</t>
        </is>
      </c>
      <c r="F22" t="inlineStr">
        <is>
          <t>In Use</t>
        </is>
      </c>
    </row>
    <row r="23">
      <c r="A23" t="inlineStr">
        <is>
          <t>22</t>
        </is>
      </c>
      <c r="B23" t="inlineStr">
        <is>
          <t>Backend (FastAPI API)</t>
        </is>
      </c>
      <c r="C23" t="inlineStr">
        <is>
          <t>pypi:httpx</t>
        </is>
      </c>
      <c r="D23" t="inlineStr">
        <is>
          <t>0.27.2</t>
        </is>
      </c>
      <c r="E23" t="inlineStr">
        <is>
          <t>BSD License</t>
        </is>
      </c>
      <c r="F23" t="inlineStr">
        <is>
          <t>In Use</t>
        </is>
      </c>
    </row>
    <row r="24">
      <c r="A24" t="inlineStr">
        <is>
          <t>23</t>
        </is>
      </c>
      <c r="B24" t="inlineStr">
        <is>
          <t>Backend Dev Dependencies</t>
        </is>
      </c>
      <c r="C24" t="inlineStr">
        <is>
          <t>pypi:ruff</t>
        </is>
      </c>
      <c r="D24" t="inlineStr">
        <is>
          <t>0.7.0</t>
        </is>
      </c>
      <c r="E24" t="inlineStr">
        <is>
          <t>MIT</t>
        </is>
      </c>
      <c r="F24" t="inlineStr">
        <is>
          <t>Development</t>
        </is>
      </c>
    </row>
    <row r="25">
      <c r="A25" t="inlineStr">
        <is>
          <t>24</t>
        </is>
      </c>
      <c r="B25" t="inlineStr">
        <is>
          <t>Backend Dev Dependencies</t>
        </is>
      </c>
      <c r="C25" t="inlineStr">
        <is>
          <t>pypi:pytest</t>
        </is>
      </c>
      <c r="D25" t="inlineStr">
        <is>
          <t>8.3.3</t>
        </is>
      </c>
      <c r="E25" t="inlineStr">
        <is>
          <t>MIT</t>
        </is>
      </c>
      <c r="F25" t="inlineStr">
        <is>
          <t>Development</t>
        </is>
      </c>
    </row>
    <row r="26">
      <c r="A26" t="inlineStr">
        <is>
          <t>25</t>
        </is>
      </c>
      <c r="B26" t="inlineStr">
        <is>
          <t>Backend Dev Dependencies</t>
        </is>
      </c>
      <c r="C26" t="inlineStr">
        <is>
          <t>pypi:pytest-asyncio</t>
        </is>
      </c>
      <c r="D26" t="inlineStr">
        <is>
          <t>1.2.0</t>
        </is>
      </c>
      <c r="E26" t="inlineStr">
        <is>
          <t>NOASSERTION</t>
        </is>
      </c>
      <c r="F26" t="inlineStr">
        <is>
          <t>Development</t>
        </is>
      </c>
    </row>
    <row r="27">
      <c r="A27" t="inlineStr">
        <is>
          <t>26</t>
        </is>
      </c>
      <c r="B27" t="inlineStr">
        <is>
          <t>Backend Dev Dependencies</t>
        </is>
      </c>
      <c r="C27" t="inlineStr">
        <is>
          <t>pypi:mypy</t>
        </is>
      </c>
      <c r="D27" t="inlineStr">
        <is>
          <t>1.13.0</t>
        </is>
      </c>
      <c r="E27" t="inlineStr">
        <is>
          <t>MIT</t>
        </is>
      </c>
      <c r="F27" t="inlineStr">
        <is>
          <t>Development</t>
        </is>
      </c>
    </row>
    <row r="28">
      <c r="A28" t="inlineStr">
        <is>
          <t>27</t>
        </is>
      </c>
      <c r="B28" t="inlineStr">
        <is>
          <t>Backend Dev Dependencies</t>
        </is>
      </c>
      <c r="C28" t="inlineStr">
        <is>
          <t>pypi:reuse</t>
        </is>
      </c>
      <c r="D28" t="inlineStr">
        <is>
          <t>4.0.3</t>
        </is>
      </c>
      <c r="E28" t="inlineStr">
        <is>
          <t>Apache-2.0 AND CC0-1.0 AND CC-BY-SA-4.0 AND GPL-3.0-or-later</t>
        </is>
      </c>
      <c r="F28" t="inlineStr">
        <is>
          <t>Development</t>
        </is>
      </c>
    </row>
    <row r="29">
      <c r="A29" t="inlineStr">
        <is>
          <t>28</t>
        </is>
      </c>
      <c r="B29" t="inlineStr">
        <is>
          <t>Automation Scripts</t>
        </is>
      </c>
      <c r="C29" t="inlineStr">
        <is>
          <t>pypi:openpyxl</t>
        </is>
      </c>
      <c r="D29" t="inlineStr">
        <is>
          <t>3.1.5</t>
        </is>
      </c>
      <c r="E29" t="inlineStr">
        <is>
          <t>MIT</t>
        </is>
      </c>
      <c r="F29" t="inlineStr">
        <is>
          <t>In Use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2025-11-16T14:04:28Z</dcterms:created>
  <dcterms:modified xsi:type="dcterms:W3CDTF">2025-11-17T13:31:50Z</dcterms:modified>
</cp:coreProperties>
</file>