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drawings/drawing2.xml" ContentType="application/vnd.openxmlformats-officedocument.drawing+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ject Data" sheetId="1" state="visible" r:id="rId1"/>
    <sheet name="Project Team" sheetId="2" state="visible" r:id="rId2"/>
    <sheet name="Role Assignments" sheetId="3" state="visible" r:id="rId3"/>
    <sheet name="Team Contract" sheetId="4" state="visible" r:id="rId4"/>
    <sheet name="Product Goal" sheetId="5" state="visible" r:id="rId5"/>
    <sheet name="Product Glossary" sheetId="6" state="visible" r:id="rId6"/>
    <sheet name="Sprint Goals" sheetId="7" state="visible" r:id="rId7"/>
    <sheet name="Velocity Tracking" sheetId="8" state="visible" r:id="rId8"/>
    <sheet name="Velocity Chart" sheetId="9" state="visible" r:id="rId9"/>
    <sheet name="Mid-Project Release plan" sheetId="10" state="visible" r:id="rId10"/>
    <sheet name="Burndown Chart" sheetId="11" state="visible" r:id="rId11"/>
    <sheet name="Final Project Release plan" sheetId="12" state="visible" r:id="rId12"/>
    <sheet name="Definition of Done" sheetId="13" state="visible" r:id="rId13"/>
    <sheet name="Documentation" sheetId="14" state="visible" r:id="rId14"/>
    <sheet name="Planning Poker" sheetId="15" state="visible" r:id="rId15"/>
    <sheet name="Bill of Materials" sheetId="16" state="visible" r:id="rId16"/>
  </sheets>
  <definedNames>
    <definedName name="Average">'Velocity Tracking'!$B$17</definedName>
  </definedNames>
  <calcPr calcId="124519" fullCalcOnLoad="1"/>
</workbook>
</file>

<file path=xl/styles.xml><?xml version="1.0" encoding="utf-8"?>
<styleSheet xmlns="http://schemas.openxmlformats.org/spreadsheetml/2006/main">
  <numFmts count="2">
    <numFmt numFmtId="164" formatCode="yyyy-mm-dd"/>
    <numFmt numFmtId="165" formatCode="yyyy&quot;-&quot;mm&quot;-&quot;dd"/>
  </numFmts>
  <fonts count="13">
    <font>
      <name val="Arial"/>
      <color rgb="FF000000"/>
      <sz val="10"/>
    </font>
    <font>
      <b val="1"/>
    </font>
    <font/>
    <font>
      <color rgb="FF0000FF"/>
      <u val="single"/>
    </font>
    <font>
      <color rgb="FF0000FF"/>
      <u val="single"/>
    </font>
    <font>
      <color rgb="FF0000FF"/>
      <u val="single"/>
    </font>
    <font>
      <color rgb="FF0000FF"/>
      <u val="single"/>
    </font>
    <font>
      <name val="Arial"/>
      <b val="1"/>
    </font>
    <font>
      <name val="Arial"/>
    </font>
    <font>
      <name val="Arial"/>
      <color rgb="FFFFFFFF"/>
    </font>
    <font>
      <name val="Calibri"/>
      <b val="1"/>
      <color rgb="FFFFFFFF"/>
      <sz val="11"/>
    </font>
    <font>
      <name val="Calibri"/>
      <color rgb="FF000000"/>
      <sz val="11"/>
    </font>
    <font>
      <name val="Arial"/>
      <b val="1"/>
      <sz val="24"/>
    </font>
  </fonts>
  <fills count="13">
    <fill>
      <patternFill/>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4472C4"/>
        <bgColor rgb="FF4472C4"/>
      </patternFill>
    </fill>
    <fill>
      <patternFill patternType="solid">
        <fgColor rgb="FFD4EDDA"/>
        <bgColor rgb="FFD4EDDA"/>
      </patternFill>
    </fill>
    <fill>
      <patternFill patternType="solid">
        <fgColor rgb="FFFFF3CD"/>
        <bgColor rgb="FFFFF3CD"/>
      </patternFill>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25">
    <xf numFmtId="0" fontId="0" fillId="0" borderId="0" applyAlignment="1" pivotButton="0" quotePrefix="0" xfId="0">
      <alignment vertical="bottom" wrapText="1"/>
    </xf>
    <xf numFmtId="0" fontId="1" fillId="0" borderId="0" applyAlignment="1" pivotButton="0" quotePrefix="0" xfId="0">
      <alignment wrapText="1"/>
    </xf>
    <xf numFmtId="0" fontId="2"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1" fillId="0" borderId="0" pivotButton="0" quotePrefix="0" xfId="0"/>
    <xf numFmtId="0" fontId="2" fillId="0" borderId="0" pivotButton="0" quotePrefix="0" xfId="0"/>
    <xf numFmtId="0" fontId="6" fillId="0" borderId="0" pivotButton="0" quotePrefix="0" xfId="0"/>
    <xf numFmtId="0" fontId="2" fillId="0" borderId="0" pivotButton="0" quotePrefix="0" xfId="0"/>
    <xf numFmtId="0" fontId="2" fillId="0" borderId="0" pivotButton="0" quotePrefix="0" xfId="0"/>
    <xf numFmtId="0" fontId="1" fillId="0" borderId="0" pivotButton="0" quotePrefix="0" xfId="0"/>
    <xf numFmtId="0" fontId="1" fillId="2" borderId="0" applyAlignment="1" pivotButton="0" quotePrefix="0" xfId="0">
      <alignment horizontal="center"/>
    </xf>
    <xf numFmtId="0" fontId="1" fillId="2" borderId="0" applyAlignment="1" pivotButton="0" quotePrefix="0" xfId="0">
      <alignment horizontal="center"/>
    </xf>
    <xf numFmtId="0" fontId="1" fillId="0" borderId="0" applyAlignment="1" pivotButton="0" quotePrefix="0" xfId="0">
      <alignment horizontal="center"/>
    </xf>
    <xf numFmtId="0" fontId="1" fillId="0" borderId="0" applyAlignment="1" pivotButton="0" quotePrefix="0" xfId="0">
      <alignment horizontal="center"/>
    </xf>
    <xf numFmtId="0" fontId="2" fillId="0" borderId="0" applyAlignment="1" pivotButton="0" quotePrefix="0" xfId="0">
      <alignment horizontal="center"/>
    </xf>
    <xf numFmtId="164" fontId="2" fillId="0" borderId="0" pivotButton="0" quotePrefix="0" xfId="0"/>
    <xf numFmtId="0" fontId="2" fillId="0" borderId="0" applyAlignment="1" pivotButton="0" quotePrefix="0" xfId="0">
      <alignment horizontal="left"/>
    </xf>
    <xf numFmtId="164" fontId="2" fillId="0" borderId="0" pivotButton="0" quotePrefix="0" xfId="0"/>
    <xf numFmtId="165" fontId="2" fillId="0" borderId="0" applyAlignment="1" pivotButton="0" quotePrefix="0" xfId="0">
      <alignment horizontal="left"/>
    </xf>
    <xf numFmtId="165" fontId="2" fillId="0" borderId="0" pivotButton="0" quotePrefix="0" xfId="0"/>
    <xf numFmtId="165" fontId="2" fillId="0" borderId="0" applyAlignment="1" pivotButton="0" quotePrefix="0" xfId="0">
      <alignment horizontal="left"/>
    </xf>
    <xf numFmtId="165" fontId="2" fillId="0" borderId="0" applyAlignment="1" pivotButton="0" quotePrefix="0" xfId="0">
      <alignment horizontal="left"/>
    </xf>
    <xf numFmtId="0" fontId="2" fillId="0" borderId="0" applyAlignment="1" pivotButton="0" quotePrefix="0" xfId="0">
      <alignment horizontal="left"/>
    </xf>
    <xf numFmtId="0" fontId="7" fillId="3" borderId="0" applyAlignment="1" pivotButton="0" quotePrefix="0" xfId="0">
      <alignment vertical="bottom" wrapText="1"/>
    </xf>
    <xf numFmtId="0" fontId="8" fillId="3" borderId="0" applyAlignment="1" pivotButton="0" quotePrefix="0" xfId="0">
      <alignment vertical="bottom" wrapText="1"/>
    </xf>
    <xf numFmtId="0" fontId="8" fillId="4" borderId="0" applyAlignment="1" pivotButton="0" quotePrefix="0" xfId="0">
      <alignment vertical="bottom" wrapText="1"/>
    </xf>
    <xf numFmtId="0" fontId="8" fillId="4" borderId="0" applyAlignment="1" pivotButton="0" quotePrefix="0" xfId="0">
      <alignment vertical="bottom" wrapText="1"/>
    </xf>
    <xf numFmtId="0" fontId="7" fillId="3" borderId="0" applyAlignment="1" pivotButton="0" quotePrefix="0" xfId="0">
      <alignment vertical="bottom" wrapText="1"/>
    </xf>
    <xf numFmtId="0" fontId="8" fillId="3" borderId="0" applyAlignment="1" pivotButton="0" quotePrefix="0" xfId="0">
      <alignment vertical="bottom" wrapText="1"/>
    </xf>
    <xf numFmtId="0" fontId="7" fillId="3" borderId="0" applyAlignment="1" pivotButton="0" quotePrefix="0" xfId="0">
      <alignment vertical="bottom" wrapText="1"/>
    </xf>
    <xf numFmtId="0" fontId="2" fillId="0" borderId="0" applyAlignment="1" pivotButton="0" quotePrefix="0" xfId="0">
      <alignment wrapText="1"/>
    </xf>
    <xf numFmtId="0" fontId="2" fillId="0" borderId="0" applyAlignment="1" pivotButton="0" quotePrefix="0" xfId="0">
      <alignment wrapText="1"/>
    </xf>
    <xf numFmtId="0" fontId="1" fillId="2" borderId="0" applyAlignment="1" pivotButton="0" quotePrefix="0" xfId="0">
      <alignment wrapText="1"/>
    </xf>
    <xf numFmtId="0" fontId="2" fillId="3" borderId="0" applyAlignment="1" pivotButton="0" quotePrefix="0" xfId="0">
      <alignment wrapText="1"/>
    </xf>
    <xf numFmtId="0" fontId="2" fillId="3" borderId="0" applyAlignment="1" pivotButton="0" quotePrefix="0" xfId="0">
      <alignment wrapText="1"/>
    </xf>
    <xf numFmtId="0" fontId="8" fillId="4" borderId="0" applyAlignment="1" pivotButton="0" quotePrefix="0" xfId="0">
      <alignment vertical="top" wrapText="1"/>
    </xf>
    <xf numFmtId="0" fontId="1" fillId="0" borderId="0" applyAlignment="1" pivotButton="0" quotePrefix="0" xfId="0">
      <alignment wrapText="1"/>
    </xf>
    <xf numFmtId="0" fontId="1" fillId="0" borderId="0" applyAlignment="1" pivotButton="0" quotePrefix="0" xfId="0">
      <alignment horizontal="left" wrapText="1"/>
    </xf>
    <xf numFmtId="0" fontId="2" fillId="0" borderId="0" applyAlignment="1" pivotButton="0" quotePrefix="0" xfId="0">
      <alignment horizontal="left" wrapText="1"/>
    </xf>
    <xf numFmtId="0" fontId="2" fillId="0" borderId="0" applyAlignment="1" pivotButton="0" quotePrefix="0" xfId="0">
      <alignment horizontal="left" wrapText="1"/>
    </xf>
    <xf numFmtId="0" fontId="1" fillId="0" borderId="0" applyAlignment="1" pivotButton="0" quotePrefix="0" xfId="0">
      <alignment wrapText="1"/>
    </xf>
    <xf numFmtId="0" fontId="1" fillId="5" borderId="0" applyAlignment="1" pivotButton="0" quotePrefix="0" xfId="0">
      <alignment wrapText="1"/>
    </xf>
    <xf numFmtId="0" fontId="7" fillId="2" borderId="0" applyAlignment="1" pivotButton="0" quotePrefix="0" xfId="0">
      <alignment horizontal="left" vertical="bottom" wrapText="1"/>
    </xf>
    <xf numFmtId="0" fontId="7" fillId="2" borderId="0" applyAlignment="1" pivotButton="0" quotePrefix="0" xfId="0">
      <alignment vertical="bottom"/>
    </xf>
    <xf numFmtId="0" fontId="7" fillId="2" borderId="0" applyAlignment="1" pivotButton="0" quotePrefix="0" xfId="0">
      <alignment vertical="bottom"/>
    </xf>
    <xf numFmtId="0" fontId="7" fillId="2" borderId="0" applyAlignment="1" pivotButton="0" quotePrefix="0" xfId="0">
      <alignment horizontal="center" vertical="bottom" wrapText="1"/>
    </xf>
    <xf numFmtId="0" fontId="8" fillId="3" borderId="0" applyAlignment="1" pivotButton="0" quotePrefix="0" xfId="0">
      <alignment horizontal="left" vertical="bottom" wrapText="1"/>
    </xf>
    <xf numFmtId="0" fontId="8" fillId="3" borderId="0" applyAlignment="1" pivotButton="0" quotePrefix="0" xfId="0">
      <alignment vertical="bottom"/>
    </xf>
    <xf numFmtId="0" fontId="7" fillId="6" borderId="0" applyAlignment="1" pivotButton="0" quotePrefix="0" xfId="0">
      <alignment horizontal="left" vertical="bottom"/>
    </xf>
    <xf numFmtId="0" fontId="8" fillId="6" borderId="0" applyAlignment="1" pivotButton="0" quotePrefix="0" xfId="0">
      <alignment vertical="bottom"/>
    </xf>
    <xf numFmtId="0" fontId="8" fillId="6" borderId="0" applyAlignment="1" pivotButton="0" quotePrefix="0" xfId="0">
      <alignment vertical="bottom" wrapText="1"/>
    </xf>
    <xf numFmtId="0" fontId="7" fillId="4" borderId="0" applyAlignment="1" pivotButton="0" quotePrefix="0" xfId="0">
      <alignment vertical="bottom"/>
    </xf>
    <xf numFmtId="0" fontId="2" fillId="0" borderId="0" pivotButton="0" quotePrefix="0" xfId="0"/>
    <xf numFmtId="0" fontId="8" fillId="4" borderId="0" applyAlignment="1" pivotButton="0" quotePrefix="0" xfId="0">
      <alignment horizontal="right" vertical="bottom"/>
    </xf>
    <xf numFmtId="0" fontId="7" fillId="7" borderId="0" applyAlignment="1" pivotButton="0" quotePrefix="0" xfId="0">
      <alignment horizontal="left" vertical="bottom"/>
    </xf>
    <xf numFmtId="0" fontId="7" fillId="7" borderId="0" applyAlignment="1" pivotButton="0" quotePrefix="0" xfId="0">
      <alignment vertical="bottom"/>
    </xf>
    <xf numFmtId="0" fontId="8" fillId="7" borderId="0" applyAlignment="1" pivotButton="0" quotePrefix="0" xfId="0">
      <alignment vertical="bottom" wrapText="1"/>
    </xf>
    <xf numFmtId="0" fontId="9" fillId="3" borderId="0" applyAlignment="1" pivotButton="0" quotePrefix="0" xfId="0">
      <alignment horizontal="center" vertical="bottom"/>
    </xf>
    <xf numFmtId="0" fontId="8" fillId="4" borderId="0" applyAlignment="1" pivotButton="0" quotePrefix="0" xfId="0">
      <alignment horizontal="left" vertical="bottom" wrapText="1"/>
    </xf>
    <xf numFmtId="0" fontId="7" fillId="4" borderId="0" applyAlignment="1" pivotButton="0" quotePrefix="0" xfId="0">
      <alignment vertical="bottom"/>
    </xf>
    <xf numFmtId="0" fontId="7" fillId="0" borderId="0" applyAlignment="1" pivotButton="0" quotePrefix="0" xfId="0">
      <alignment vertical="bottom"/>
    </xf>
    <xf numFmtId="0" fontId="8" fillId="3" borderId="0" applyAlignment="1" pivotButton="0" quotePrefix="0" xfId="0">
      <alignment horizontal="right" vertical="bottom"/>
    </xf>
    <xf numFmtId="0" fontId="7" fillId="8" borderId="0" applyAlignment="1" pivotButton="0" quotePrefix="0" xfId="0">
      <alignment horizontal="left" vertical="bottom"/>
    </xf>
    <xf numFmtId="0" fontId="7" fillId="8" borderId="0" applyAlignment="1" pivotButton="0" quotePrefix="0" xfId="0">
      <alignment vertical="bottom"/>
    </xf>
    <xf numFmtId="0" fontId="8" fillId="8" borderId="0" applyAlignment="1" pivotButton="0" quotePrefix="0" xfId="0">
      <alignment vertical="bottom" wrapText="1"/>
    </xf>
    <xf numFmtId="0" fontId="7" fillId="3" borderId="0" applyAlignment="1" pivotButton="0" quotePrefix="0" xfId="0">
      <alignment horizontal="left" vertical="bottom"/>
    </xf>
    <xf numFmtId="0" fontId="7" fillId="3" borderId="0" applyAlignment="1" pivotButton="0" quotePrefix="0" xfId="0">
      <alignment vertical="bottom"/>
    </xf>
    <xf numFmtId="0" fontId="8" fillId="4" borderId="0" applyAlignment="1" pivotButton="0" quotePrefix="0" xfId="0">
      <alignment vertical="bottom"/>
    </xf>
    <xf numFmtId="0" fontId="8" fillId="4" borderId="0" applyAlignment="1" pivotButton="0" quotePrefix="0" xfId="0">
      <alignment vertical="bottom" wrapText="1"/>
    </xf>
    <xf numFmtId="0" fontId="8" fillId="3" borderId="0" applyAlignment="1" pivotButton="0" quotePrefix="0" xfId="0">
      <alignment horizontal="left" vertical="bottom" wrapText="1"/>
    </xf>
    <xf numFmtId="0" fontId="8" fillId="3" borderId="0" applyAlignment="1" pivotButton="0" quotePrefix="0" xfId="0">
      <alignment vertical="bottom"/>
    </xf>
    <xf numFmtId="0" fontId="8" fillId="3" borderId="0" applyAlignment="1" pivotButton="0" quotePrefix="0" xfId="0">
      <alignment vertical="bottom"/>
    </xf>
    <xf numFmtId="0" fontId="8" fillId="3" borderId="0" applyAlignment="1" pivotButton="0" quotePrefix="0" xfId="0">
      <alignment horizontal="right" vertical="bottom"/>
    </xf>
    <xf numFmtId="0" fontId="8" fillId="4" borderId="0" applyAlignment="1" pivotButton="0" quotePrefix="0" xfId="0">
      <alignment horizontal="right" vertical="bottom"/>
    </xf>
    <xf numFmtId="0" fontId="2" fillId="0" borderId="0" pivotButton="0" quotePrefix="0" xfId="0"/>
    <xf numFmtId="0" fontId="8" fillId="3" borderId="0" applyAlignment="1" pivotButton="0" quotePrefix="0" xfId="0">
      <alignment horizontal="left" vertical="bottom" wrapText="1"/>
    </xf>
    <xf numFmtId="0" fontId="7" fillId="2" borderId="0" applyAlignment="1" pivotButton="0" quotePrefix="0" xfId="0">
      <alignment vertical="bottom" wrapText="1"/>
    </xf>
    <xf numFmtId="0" fontId="7" fillId="7" borderId="0" applyAlignment="1" pivotButton="0" quotePrefix="0" xfId="0">
      <alignment vertical="bottom"/>
    </xf>
    <xf numFmtId="0" fontId="8" fillId="3" borderId="0" applyAlignment="1" pivotButton="0" quotePrefix="0" xfId="0">
      <alignment vertical="bottom" wrapText="1"/>
    </xf>
    <xf numFmtId="0" fontId="8" fillId="3" borderId="0" applyAlignment="1" pivotButton="0" quotePrefix="0" xfId="0">
      <alignment horizontal="right" vertical="bottom"/>
    </xf>
    <xf numFmtId="0" fontId="1" fillId="5" borderId="0" pivotButton="0" quotePrefix="0" xfId="0"/>
    <xf numFmtId="0" fontId="7" fillId="2" borderId="0" applyAlignment="1" pivotButton="0" quotePrefix="0" xfId="0">
      <alignment vertical="bottom" wrapText="1"/>
    </xf>
    <xf numFmtId="0" fontId="7" fillId="2" borderId="0" applyAlignment="1" pivotButton="0" quotePrefix="0" xfId="0">
      <alignment vertical="bottom"/>
    </xf>
    <xf numFmtId="0" fontId="10" fillId="9" borderId="1" applyAlignment="1" pivotButton="0" quotePrefix="0" xfId="0">
      <alignment horizontal="center"/>
    </xf>
    <xf numFmtId="0" fontId="11" fillId="10" borderId="1" applyAlignment="1" pivotButton="0" quotePrefix="0" xfId="0">
      <alignment horizontal="left" wrapText="1"/>
    </xf>
    <xf numFmtId="0" fontId="11" fillId="10" borderId="1" applyAlignment="1" pivotButton="0" quotePrefix="0" xfId="0">
      <alignment horizontal="left" wrapText="1"/>
    </xf>
    <xf numFmtId="0" fontId="11" fillId="11" borderId="1" applyAlignment="1" pivotButton="0" quotePrefix="0" xfId="0">
      <alignment horizontal="left" wrapText="1"/>
    </xf>
    <xf numFmtId="0" fontId="11" fillId="11" borderId="1" applyAlignment="1" pivotButton="0" quotePrefix="0" xfId="0">
      <alignment horizontal="left" wrapText="1"/>
    </xf>
    <xf numFmtId="0" fontId="11" fillId="11" borderId="1" applyAlignment="1" pivotButton="0" quotePrefix="0" xfId="0">
      <alignment horizontal="left" wrapText="1"/>
    </xf>
    <xf numFmtId="0" fontId="7" fillId="2" borderId="0" applyAlignment="1" pivotButton="0" quotePrefix="0" xfId="0">
      <alignment vertical="center" wrapText="1"/>
    </xf>
    <xf numFmtId="0" fontId="7" fillId="2" borderId="0" applyAlignment="1" pivotButton="0" quotePrefix="0" xfId="0">
      <alignment horizontal="center" vertical="center" wrapText="1"/>
    </xf>
    <xf numFmtId="4" fontId="7" fillId="2" borderId="0" applyAlignment="1" pivotButton="0" quotePrefix="0" xfId="0">
      <alignment vertical="center" wrapText="1"/>
    </xf>
    <xf numFmtId="4" fontId="8" fillId="2" borderId="0" applyAlignment="1" pivotButton="0" quotePrefix="0" xfId="0">
      <alignment vertical="center" wrapText="1"/>
    </xf>
    <xf numFmtId="0" fontId="8" fillId="2" borderId="0" applyAlignment="1" pivotButton="0" quotePrefix="0" xfId="0">
      <alignment vertical="center" wrapText="1"/>
    </xf>
    <xf numFmtId="0" fontId="1" fillId="2" borderId="0" applyAlignment="1" pivotButton="0" quotePrefix="0" xfId="0">
      <alignment vertical="center" wrapText="1"/>
    </xf>
    <xf numFmtId="0" fontId="7" fillId="3" borderId="0" applyAlignment="1" pivotButton="0" quotePrefix="0" xfId="0">
      <alignment vertical="center" wrapText="1"/>
    </xf>
    <xf numFmtId="0" fontId="8" fillId="5" borderId="0" applyAlignment="1" pivotButton="0" quotePrefix="0" xfId="0">
      <alignment horizontal="center" vertical="center" wrapText="1"/>
    </xf>
    <xf numFmtId="4" fontId="8" fillId="3" borderId="0" applyAlignment="1" pivotButton="0" quotePrefix="0" xfId="0">
      <alignment vertical="center" wrapText="1"/>
    </xf>
    <xf numFmtId="4" fontId="12" fillId="8" borderId="0" applyAlignment="1" pivotButton="0" quotePrefix="0" xfId="0">
      <alignment horizontal="center" vertical="center" wrapText="1"/>
    </xf>
    <xf numFmtId="0" fontId="12" fillId="8" borderId="0" applyAlignment="1" pivotButton="0" quotePrefix="0" xfId="0">
      <alignment horizontal="center" vertical="center" wrapText="1"/>
    </xf>
    <xf numFmtId="0" fontId="2" fillId="3" borderId="0" applyAlignment="1" pivotButton="0" quotePrefix="0" xfId="0">
      <alignment vertical="center" wrapText="1"/>
    </xf>
    <xf numFmtId="0" fontId="7" fillId="4" borderId="0" applyAlignment="1" pivotButton="0" quotePrefix="0" xfId="0">
      <alignment vertical="center" wrapText="1"/>
    </xf>
    <xf numFmtId="4" fontId="8" fillId="4" borderId="0" applyAlignment="1" pivotButton="0" quotePrefix="0" xfId="0">
      <alignment vertical="center" wrapText="1"/>
    </xf>
    <xf numFmtId="0" fontId="2" fillId="4" borderId="0" applyAlignment="1" pivotButton="0" quotePrefix="0" xfId="0">
      <alignment vertical="center" wrapText="1"/>
    </xf>
    <xf numFmtId="0" fontId="8" fillId="4" borderId="0" applyAlignment="1" pivotButton="0" quotePrefix="0" xfId="0">
      <alignment vertical="center" wrapText="1"/>
    </xf>
    <xf numFmtId="0" fontId="8" fillId="3" borderId="0" applyAlignment="1" pivotButton="0" quotePrefix="0" xfId="0">
      <alignment vertical="center" wrapText="1"/>
    </xf>
    <xf numFmtId="0" fontId="8" fillId="7" borderId="0" applyAlignment="1" pivotButton="0" quotePrefix="0" xfId="0">
      <alignment horizontal="center" vertical="center" wrapText="1"/>
    </xf>
    <xf numFmtId="0" fontId="8" fillId="7" borderId="0" applyAlignment="1" pivotButton="0" quotePrefix="0" xfId="0">
      <alignment vertical="center" wrapText="1"/>
    </xf>
    <xf numFmtId="0" fontId="2" fillId="4" borderId="0" applyAlignment="1" pivotButton="0" quotePrefix="0" xfId="0">
      <alignment wrapText="1"/>
    </xf>
    <xf numFmtId="0" fontId="7" fillId="4" borderId="0" applyAlignment="1" pivotButton="0" quotePrefix="0" xfId="0">
      <alignment vertical="center" wrapText="1"/>
    </xf>
    <xf numFmtId="0" fontId="2" fillId="5" borderId="0" applyAlignment="1" pivotButton="0" quotePrefix="0" xfId="0">
      <alignment wrapText="1"/>
    </xf>
    <xf numFmtId="0" fontId="8" fillId="3" borderId="0" applyAlignment="1" pivotButton="0" quotePrefix="0" xfId="0">
      <alignment horizontal="center" vertical="center" wrapText="1"/>
    </xf>
    <xf numFmtId="0" fontId="1" fillId="3" borderId="0" pivotButton="0" quotePrefix="0" xfId="0"/>
    <xf numFmtId="0" fontId="1" fillId="3" borderId="0" pivotButton="0" quotePrefix="0" xfId="0"/>
    <xf numFmtId="0" fontId="2" fillId="4" borderId="0" pivotButton="0" quotePrefix="0" xfId="0"/>
    <xf numFmtId="0" fontId="2" fillId="3" borderId="0" pivotButton="0" quotePrefix="0" xfId="0"/>
    <xf numFmtId="0" fontId="2" fillId="3" borderId="0" pivotButton="0" quotePrefix="0" xfId="0"/>
    <xf numFmtId="0" fontId="2" fillId="4" borderId="0" pivotButton="0" quotePrefix="0" xfId="0"/>
    <xf numFmtId="0" fontId="2" fillId="4" borderId="0" pivotButton="0" quotePrefix="0" xfId="0"/>
    <xf numFmtId="0" fontId="0" fillId="0" borderId="0" pivotButton="0" quotePrefix="0" xfId="0"/>
    <xf numFmtId="0" fontId="0" fillId="12" borderId="0" pivotButton="0" quotePrefix="0" xfId="0"/>
  </cellXfs>
  <cellStyles count="1">
    <cellStyle name="Normal" xfId="0" builtinId="0"/>
  </cellStyles>
  <dxfs count="4">
    <dxf>
      <font/>
      <fill>
        <patternFill/>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defaultTableStyle="TableStyleMedium9" defaultPivotStyle="PivotStyleLight16">
    <tableStyle name="Project Data-style" pivot="0" count="3">
      <tableStyleElement type="headerRow" dxfId="1"/>
      <tableStyleElement type="firstRowStripe" dxfId="2"/>
      <tableStyleElement type="secondRowStripe" dxfId="3"/>
    </tableStyle>
    <tableStyle name="Project Team-style" pivot="0" count="3">
      <tableStyleElement type="headerRow" dxfId="1"/>
      <tableStyleElement type="firstRowStripe" dxfId="2"/>
      <tableStyleElement type="secondRowStripe" dxfId="3"/>
    </tableStyle>
    <tableStyle name="Role Assignments-style" pivot="0" count="3">
      <tableStyleElement type="headerRow" dxfId="1"/>
      <tableStyleElement type="firstRowStripe" dxfId="2"/>
      <tableStyleElement type="secondRowStripe" dxfId="3"/>
    </tableStyle>
    <tableStyle name="Team Contract-style" pivot="0" count="3">
      <tableStyleElement type="headerRow" dxfId="1"/>
      <tableStyleElement type="firstRowStripe" dxfId="2"/>
      <tableStyleElement type="secondRowStripe" dxfId="3"/>
    </tableStyle>
    <tableStyle name="Product Glossary-style" pivot="0" count="3">
      <tableStyleElement type="headerRow" dxfId="1"/>
      <tableStyleElement type="firstRowStripe" dxfId="2"/>
      <tableStyleElement type="secondRowStripe" dxfId="3"/>
    </tableStyle>
    <tableStyle name="Sprint Goals-style" pivot="0" count="3">
      <tableStyleElement type="headerRow" dxfId="1"/>
      <tableStyleElement type="firstRowStripe" dxfId="2"/>
      <tableStyleElement type="secondRowStripe" dxfId="3"/>
    </tableStyle>
    <tableStyle name="Velocity Tracking-style" pivot="0" count="3">
      <tableStyleElement type="headerRow" dxfId="1"/>
      <tableStyleElement type="firstRowStripe" dxfId="2"/>
      <tableStyleElement type="secondRowStripe" dxfId="3"/>
    </tableStyle>
    <tableStyle name="Mid-Project Release plan-style" pivot="0" count="3">
      <tableStyleElement type="headerRow" dxfId="1"/>
      <tableStyleElement type="firstRowStripe" dxfId="2"/>
      <tableStyleElement type="secondRowStripe" dxfId="3"/>
    </tableStyle>
    <tableStyle name="Burndown Chart-style" pivot="0" count="3">
      <tableStyleElement type="headerRow" dxfId="1"/>
      <tableStyleElement type="firstRowStripe" dxfId="2"/>
      <tableStyleElement type="secondRowStripe" dxfId="3"/>
    </tableStyle>
    <tableStyle name="Final Project Release plan-style" pivot="0" count="3">
      <tableStyleElement type="headerRow" dxfId="1"/>
      <tableStyleElement type="firstRowStripe" dxfId="2"/>
      <tableStyleElement type="secondRowStripe" dxfId="3"/>
    </tableStyle>
    <tableStyle name="Definition of Done-style" pivot="0" count="3">
      <tableStyleElement type="headerRow" dxfId="1"/>
      <tableStyleElement type="firstRowStripe" dxfId="2"/>
      <tableStyleElement type="secondRowStripe" dxfId="3"/>
    </tableStyle>
    <tableStyle name="Documentation-style" pivot="0" count="3">
      <tableStyleElement type="headerRow" dxfId="1"/>
      <tableStyleElement type="firstRowStripe" dxfId="2"/>
      <tableStyleElement type="secondRowStripe" dxfId="3"/>
    </tableStyle>
    <tableStyle name="Bill of Materials-style"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lstStyle/>
          <a:p>
            <a:pPr lvl="0">
              <a:defRPr b="0">
                <a:solidFill>
                  <a:srgbClr val="000000"/>
                </a:solidFill>
                <a:latin typeface="Roboto"/>
              </a:defRPr>
            </a:pPr>
            <a:r>
              <a:rPr b="0">
                <a:solidFill>
                  <a:srgbClr val="000000"/>
                </a:solidFill>
                <a:latin typeface="Roboto"/>
              </a:rPr>
              <a:t>Velocity Chart</a:t>
            </a:r>
          </a:p>
        </rich>
      </tx>
      <overlay val="0"/>
    </title>
    <plotArea>
      <layout/>
      <barChart>
        <barDir val="col"/>
        <grouping val="stacked"/>
        <ser>
          <idx val="0"/>
          <order val="0"/>
          <tx>
            <strRef>
              <f>'Velocity Tracking'!$B$1</f>
            </strRef>
          </tx>
          <spPr>
            <a:solidFill>
              <a:srgbClr val="4285F4"/>
            </a:solidFill>
            <a:ln cmpd="sng">
              <a:solidFill>
                <a:srgbClr val="000000"/>
              </a:solidFill>
              <a:prstDash val="solid"/>
            </a:ln>
          </spPr>
          <cat>
            <strRef>
              <f>'Velocity Tracking'!$A$2:$A$16</f>
            </strRef>
          </cat>
          <val>
            <numRef>
              <f>'Velocity Tracking'!$B$2:$B$16</f>
              <numCache/>
            </numRef>
          </val>
        </ser>
        <gapWidth val="150"/>
        <overlap val="100"/>
        <axId val="539671783"/>
        <axId val="71239164"/>
      </barChart>
      <lineChart>
        <grouping val="standard"/>
        <varyColors val="0"/>
        <ser>
          <idx val="1"/>
          <order val="1"/>
          <tx>
            <strRef>
              <f>'Velocity Chart'!$A$1</f>
            </strRef>
          </tx>
          <spPr>
            <a:ln cmpd="sng">
              <a:solidFill>
                <a:srgbClr val="DB4437"/>
              </a:solidFill>
              <a:prstDash val="solid"/>
            </a:ln>
          </spPr>
          <marker>
            <symbol val="none"/>
            <spPr>
              <a:ln>
                <a:prstDash val="solid"/>
              </a:ln>
            </spPr>
          </marker>
          <dPt>
            <idx val="14"/>
            <marker>
              <symbol val="none"/>
              <spPr>
                <a:ln>
                  <a:prstDash val="solid"/>
                </a:ln>
              </spPr>
            </marker>
            <spPr>
              <a:ln>
                <a:prstDash val="solid"/>
              </a:ln>
            </spPr>
          </dPt>
          <cat>
            <strRef>
              <f>'Velocity Tracking'!$A$2:$A$16</f>
            </strRef>
          </cat>
          <val>
            <numRef>
              <f>'Velocity Chart'!$A$2:$A$16</f>
              <numCache/>
            </numRef>
          </val>
          <smooth val="0"/>
        </ser>
        <axId val="539671783"/>
        <axId val="71239164"/>
      </lineChart>
      <catAx>
        <axId val="539671783"/>
        <scaling>
          <orientation val="minMax"/>
        </scaling>
        <delete val="0"/>
        <axPos val="b"/>
        <title>
          <tx>
            <rich>
              <a:bodyPr/>
              <a:lstStyle/>
              <a:p>
                <a:pPr lvl="0">
                  <a:defRPr b="0">
                    <a:solidFill>
                      <a:srgbClr val="000000"/>
                    </a:solidFill>
                    <a:latin typeface="Roboto"/>
                  </a:defRPr>
                </a:pPr>
                <a:r>
                  <a:rPr b="0">
                    <a:solidFill>
                      <a:srgbClr val="000000"/>
                    </a:solidFill>
                    <a:latin typeface="Roboto"/>
                  </a:rPr>
                  <a:t>Sprint</a:t>
                </a:r>
              </a:p>
            </rich>
          </tx>
          <overlay val="0"/>
        </title>
        <numFmt formatCode="General" sourceLinked="1"/>
        <majorTickMark val="none"/>
        <minorTickMark val="none"/>
        <spPr>
          <a:ln>
            <a:prstDash val="solid"/>
          </a:ln>
        </spPr>
        <txPr>
          <a:bodyPr/>
          <a:lstStyle/>
          <a:p>
            <a:pPr lvl="0">
              <a:defRPr b="0">
                <a:solidFill>
                  <a:srgbClr val="000000"/>
                </a:solidFill>
                <a:latin typeface="Roboto"/>
              </a:defRPr>
            </a:pPr>
            <a:r>
              <a:t>None</a:t>
            </a:r>
          </a:p>
        </txPr>
        <crossAx val="71239164"/>
        <lblOffset val="100"/>
      </catAx>
      <valAx>
        <axId val="71239164"/>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Story points</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Roboto"/>
              </a:defRPr>
            </a:pPr>
            <a:r>
              <a:t>None</a:t>
            </a:r>
          </a:p>
        </txPr>
        <crossAx val="539671783"/>
      </valAx>
    </plotArea>
    <legend>
      <legendPos val="r"/>
      <overlay val="0"/>
      <txPr>
        <a:bodyPr/>
        <a:lstStyle/>
        <a:p>
          <a:pPr lvl="0">
            <a:defRPr b="0">
              <a:solidFill>
                <a:srgbClr val="000000"/>
              </a:solidFill>
              <a:latin typeface="Roboto"/>
            </a:defRPr>
          </a:pPr>
          <a:r>
            <a:t>None</a:t>
          </a:r>
        </a:p>
      </txPr>
    </legend>
    <plotVisOnly val="1"/>
    <dispBlanksAs val="gap"/>
  </chart>
</chartSpace>
</file>

<file path=xl/charts/chart2.xml><?xml version="1.0" encoding="utf-8"?>
<chartSpace xmlns:a="http://schemas.openxmlformats.org/drawingml/2006/main" xmlns="http://schemas.openxmlformats.org/drawingml/2006/chart">
  <chart>
    <title>
      <tx>
        <rich>
          <a:bodyPr/>
          <a:lstStyle/>
          <a:p>
            <a:pPr lvl="0">
              <a:defRPr b="0">
                <a:solidFill>
                  <a:srgbClr val="000000"/>
                </a:solidFill>
                <a:latin typeface="Roboto"/>
              </a:defRPr>
            </a:pPr>
            <a:r>
              <a:rPr b="0">
                <a:solidFill>
                  <a:srgbClr val="000000"/>
                </a:solidFill>
                <a:latin typeface="Roboto"/>
              </a:rPr>
              <a:t>Burndown Chart</a:t>
            </a:r>
          </a:p>
        </rich>
      </tx>
      <overlay val="0"/>
    </title>
    <plotArea>
      <layout/>
      <barChart>
        <barDir val="col"/>
        <grouping val="clustered"/>
        <ser>
          <idx val="0"/>
          <order val="0"/>
          <tx>
            <v>Estimated Size</v>
          </tx>
          <spPr>
            <a:solidFill>
              <a:srgbClr val="4285F4"/>
            </a:solidFill>
            <a:ln cmpd="sng">
              <a:solidFill>
                <a:srgbClr val="000000"/>
              </a:solidFill>
              <a:prstDash val="solid"/>
            </a:ln>
          </spPr>
          <dLbls>
            <numFmt formatCode="General"/>
            <txPr>
              <a:bodyPr/>
              <a:lstStyle/>
              <a:p>
                <a:pPr lvl="0">
                  <a:defRPr/>
                </a:pPr>
                <a:r>
                  <a:t>None</a:t>
                </a:r>
              </a:p>
            </txPr>
            <showLegendKey val="0"/>
            <showVal val="1"/>
            <showCatName val="0"/>
            <showSerName val="0"/>
            <showPercent val="0"/>
            <showBubbleSize val="0"/>
          </dLbls>
          <cat>
            <strRef>
              <f>'Mid-Project Release plan'!$A$9:$A$14</f>
            </strRef>
          </cat>
          <val>
            <numRef>
              <f>'Mid-Project Release plan'!$E$9:$E$14</f>
              <numCache/>
            </numRef>
          </val>
        </ser>
        <ser>
          <idx val="1"/>
          <order val="1"/>
          <tx>
            <v>Real Size</v>
          </tx>
          <spPr>
            <a:solidFill>
              <a:srgbClr val="DB4437"/>
            </a:solidFill>
            <a:ln cmpd="sng">
              <a:solidFill>
                <a:srgbClr val="000000"/>
              </a:solidFill>
              <a:prstDash val="solid"/>
            </a:ln>
          </spPr>
          <trendline name="Development Speed">
            <spPr>
              <a:ln w="19050">
                <a:solidFill>
                  <a:srgbClr val="000000"/>
                </a:solidFill>
                <a:prstDash val="solid"/>
              </a:ln>
            </spPr>
            <trendlineType val="linear"/>
            <dispRSqr val="0"/>
            <dispEq val="0"/>
          </trendline>
          <cat>
            <strRef>
              <f>'Mid-Project Release plan'!$A$9:$A$14</f>
            </strRef>
          </cat>
          <val>
            <numRef>
              <f>'Mid-Project Release plan'!$E$9:$E$14</f>
              <numCache/>
            </numRef>
          </val>
        </ser>
        <gapWidth val="150"/>
        <axId val="1450297649"/>
        <axId val="1264535362"/>
      </barChart>
      <catAx>
        <axId val="1450297649"/>
        <scaling>
          <orientation val="minMax"/>
        </scaling>
        <delete val="0"/>
        <axPos val="b"/>
        <title>
          <tx>
            <rich>
              <a:bodyPr/>
              <a:lstStyle/>
              <a:p>
                <a:pPr lvl="0">
                  <a:defRPr b="0">
                    <a:solidFill>
                      <a:srgbClr val="000000"/>
                    </a:solidFill>
                    <a:latin typeface="Roboto"/>
                  </a:defRPr>
                </a:pPr>
                <a:r>
                  <a:rPr b="0">
                    <a:solidFill>
                      <a:srgbClr val="000000"/>
                    </a:solidFill>
                    <a:latin typeface="Roboto"/>
                  </a:rPr>
                  <a:t>Sprint</a:t>
                </a:r>
              </a:p>
            </rich>
          </tx>
          <overlay val="0"/>
        </title>
        <numFmt formatCode="General" sourceLinked="1"/>
        <majorTickMark val="none"/>
        <minorTickMark val="none"/>
        <spPr>
          <a:ln>
            <a:prstDash val="solid"/>
          </a:ln>
        </spPr>
        <txPr>
          <a:bodyPr/>
          <a:lstStyle/>
          <a:p>
            <a:pPr lvl="0">
              <a:defRPr b="0">
                <a:solidFill>
                  <a:srgbClr val="000000"/>
                </a:solidFill>
                <a:latin typeface="Roboto"/>
              </a:defRPr>
            </a:pPr>
            <a:r>
              <a:t>None</a:t>
            </a:r>
          </a:p>
        </txPr>
        <crossAx val="1264535362"/>
        <lblOffset val="100"/>
      </catAx>
      <valAx>
        <axId val="1264535362"/>
        <scaling>
          <orientation val="minMax"/>
        </scaling>
        <delete val="0"/>
        <axPos val="l"/>
        <majorGridlines>
          <spPr>
            <a:ln>
              <a:solidFill>
                <a:srgbClr val="B7B7B7"/>
              </a:solidFill>
              <a:prstDash val="solid"/>
            </a:ln>
          </spPr>
        </majorGridlines>
        <minorGridlines>
          <spPr>
            <a:ln>
              <a:solidFill>
                <a:srgbClr val="CCCCCC"/>
              </a:solidFill>
              <a:prstDash val="solid"/>
            </a:ln>
          </spPr>
        </minorGridlines>
        <title>
          <tx>
            <rich>
              <a:bodyPr/>
              <a:lstStyle/>
              <a:p>
                <a:pPr lvl="0">
                  <a:defRPr b="0">
                    <a:solidFill>
                      <a:srgbClr val="000000"/>
                    </a:solidFill>
                    <a:latin typeface="Roboto"/>
                  </a:defRPr>
                </a:pPr>
                <a:r>
                  <a:rPr b="0">
                    <a:solidFill>
                      <a:srgbClr val="000000"/>
                    </a:solidFill>
                    <a:latin typeface="Roboto"/>
                  </a:rPr>
                  <a:t>Story Points</a:t>
                </a:r>
              </a:p>
            </rich>
          </tx>
          <overlay val="0"/>
        </title>
        <numFmt formatCode="General" sourceLinked="1"/>
        <majorTickMark val="none"/>
        <minorTickMark val="none"/>
        <tickLblPos val="nextTo"/>
        <spPr>
          <a:ln>
            <a:prstDash val="solid"/>
          </a:ln>
        </spPr>
        <txPr>
          <a:bodyPr/>
          <a:lstStyle/>
          <a:p>
            <a:pPr lvl="0">
              <a:defRPr b="0">
                <a:solidFill>
                  <a:srgbClr val="000000"/>
                </a:solidFill>
                <a:latin typeface="Roboto"/>
              </a:defRPr>
            </a:pPr>
            <a:r>
              <a:t>None</a:t>
            </a:r>
          </a:p>
        </txPr>
        <crossAx val="1450297649"/>
      </valAx>
    </plotArea>
    <legend>
      <legendPos val="r"/>
      <overlay val="0"/>
      <txPr>
        <a:bodyPr/>
        <a:lstStyle/>
        <a:p>
          <a:pPr lvl="0">
            <a:defRPr b="0">
              <a:solidFill>
                <a:srgbClr val="000000"/>
              </a:solidFill>
              <a:latin typeface="Roboto"/>
            </a:defRPr>
          </a:pPr>
          <a:r>
            <a:t>None</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363200" cy="6343650"/>
    <graphicFrame>
      <nvGraphicFramePr>
        <cNvPr id="1" name="Chart 1"/>
        <cNvGraphicFramePr/>
      </nvGraphicFramePr>
      <xfrm/>
      <a:graphic>
        <a:graphicData uri="http://schemas.openxmlformats.org/drawingml/2006/chart">
          <c:chart r:id="rId1"/>
        </a:graphicData>
      </a:graphic>
    </graphicFrame>
    <clientData fLocksWithSheet="0"/>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9496425" cy="5857875"/>
    <graphicFrame>
      <nvGraphicFramePr>
        <cNvPr id="1" name="Chart 1"/>
        <cNvGraphicFramePr/>
      </nvGraphicFramePr>
      <xfrm/>
      <a:graphic>
        <a:graphicData uri="http://schemas.openxmlformats.org/drawingml/2006/chart">
          <c:chart r:id="rId1"/>
        </a:graphicData>
      </a:graphic>
    </graphicFrame>
    <clientData fLocksWithSheet="0"/>
  </oneCellAnchor>
</wsDr>
</file>

<file path=xl/tables/table1.xml><?xml version="1.0" encoding="utf-8"?>
<table xmlns="http://schemas.openxmlformats.org/spreadsheetml/2006/main" id="1" name="Table_1" displayName="Table_1" ref="A1:B20" headerRowCount="1">
  <tableColumns count="2">
    <tableColumn id="1" name="Project Name"/>
    <tableColumn id="2" name="Robot Visual Perception"/>
  </tableColumns>
  <tableStyleInfo name="Project Data-style" showFirstColumn="1" showLastColumn="1" showRowStripes="1" showColumnStripes="0"/>
</table>
</file>

<file path=xl/tables/table2.xml><?xml version="1.0" encoding="utf-8"?>
<table xmlns="http://schemas.openxmlformats.org/spreadsheetml/2006/main" id="2" name="Table_2" displayName="Table_2" ref="A1:D19" headerRowCount="1">
  <tableColumns count="4">
    <tableColumn id="1" name="Last Name"/>
    <tableColumn id="2" name="First Name"/>
    <tableColumn id="3" name="GitHub User Name"/>
    <tableColumn id="4" name="Email Address"/>
  </tableColumns>
  <tableStyleInfo name="Project Team-style" showFirstColumn="1" showLastColumn="1" showRowStripes="1" showColumnStripes="0"/>
</table>
</file>

<file path=xl/tables/table3.xml><?xml version="1.0" encoding="utf-8"?>
<table xmlns="http://schemas.openxmlformats.org/spreadsheetml/2006/main" id="3" name="Table_3" displayName="Table_3" ref="A2:H21" headerRowCount="1">
  <tableColumns count="8">
    <tableColumn id="1" name="#"/>
    <tableColumn id="2" name="Meeting Day"/>
    <tableColumn id="3" name="Review"/>
    <tableColumn id="4" name="Planning"/>
    <tableColumn id="5" name="Software Developer"/>
    <tableColumn id="6" name="Release Manager"/>
    <tableColumn id="7" name="Scrum Master"/>
    <tableColumn id="8" name="Comment"/>
  </tableColumns>
  <tableStyleInfo name="Role Assignments-style" showFirstColumn="1" showLastColumn="1" showRowStripes="1" showColumnStripes="0"/>
</table>
</file>

<file path=xl/tables/table4.xml><?xml version="1.0" encoding="utf-8"?>
<table xmlns="http://schemas.openxmlformats.org/spreadsheetml/2006/main" id="4" name="Table_4" displayName="Table_4" ref="A1:B30" headerRowCount="1">
  <tableColumns count="2">
    <tableColumn id="1" name="Goals"/>
    <tableColumn id="2" name="Development of a visual perception system for robots with an accuracy of &gt;= 90%"/>
  </tableColumns>
  <tableStyleInfo name="Team Contract-style" showFirstColumn="1" showLastColumn="1" showRowStripes="1" showColumnStripes="0"/>
</table>
</file>

<file path=xl/tables/table5.xml><?xml version="1.0" encoding="utf-8"?>
<table xmlns="http://schemas.openxmlformats.org/spreadsheetml/2006/main" id="5" name="Table_5" displayName="Table_5" ref="A1:B20" headerRowCount="1">
  <tableColumns count="2">
    <tableColumn id="1" name="Term"/>
    <tableColumn id="2" name="Definition"/>
  </tableColumns>
  <tableStyleInfo name="Product Glossary-style" showFirstColumn="1" showLastColumn="1" showRowStripes="1" showColumnStripes="0"/>
</table>
</file>

<file path=xl/tables/table6.xml><?xml version="1.0" encoding="utf-8"?>
<table xmlns="http://schemas.openxmlformats.org/spreadsheetml/2006/main" id="6" name="Table_6" displayName="Table_6" ref="A1:B20" headerRowCount="1">
  <tableColumns count="2">
    <tableColumn id="1" name="Sprint #"/>
    <tableColumn id="2" name="Sprint goal"/>
  </tableColumns>
  <tableStyleInfo name="Sprint Goals-style" showFirstColumn="1" showLastColumn="1" showRowStripes="1" showColumnStripes="0"/>
</table>
</file>

<file path=xl/tables/table7.xml><?xml version="1.0" encoding="utf-8"?>
<table xmlns="http://schemas.openxmlformats.org/spreadsheetml/2006/main" id="7" name="Table_7" displayName="Table_7" ref="A1:B20" headerRowCount="1">
  <tableColumns count="2">
    <tableColumn id="1" name="Sprint #"/>
    <tableColumn id="2" name="Story Points Realized"/>
  </tableColumns>
  <tableStyleInfo name="Velocity Tracking-style" showFirstColumn="1" showLastColumn="1" showRowStripes="1" showColumnStripes="0"/>
</table>
</file>

<file path=xl/tables/table8.xml><?xml version="1.0" encoding="utf-8"?>
<table xmlns="http://schemas.openxmlformats.org/spreadsheetml/2006/main" id="8" name="Table_8" displayName="Table_8" ref="A1:G52" headerRowCount="1">
  <tableColumns count="7">
    <tableColumn id="1" name="Sprint"/>
    <tableColumn id="2" name="Goal"/>
    <tableColumn id="3" name="Feature Name"/>
    <tableColumn id="4" name="Est. size"/>
    <tableColumn id="5" name="Est. remaining"/>
    <tableColumn id="6" name="Real size"/>
    <tableColumn id="7" name="Real remaining"/>
  </tableColumns>
  <tableStyleInfo name="Mid-Project Release plan-style" showFirstColumn="1" showLastColumn="1" showRowStripes="1" showColumnStripes="0"/>
</table>
</file>

<file path=xl/tables/table9.xml><?xml version="1.0" encoding="utf-8"?>
<table xmlns="http://schemas.openxmlformats.org/spreadsheetml/2006/main" id="9" name="Table_9" displayName="Table_9" ref="A1:A36" headerRowCount="0">
  <tableColumns count="1">
    <tableColumn id="1" name="Column1"/>
  </tableColumns>
  <tableStyleInfo name="Burndown Chart-style" showFirstColumn="1" showLastColumn="1" showRowStripes="1" showColumnStripes="0"/>
</table>
</file>

<file path=xl/tables/table10.xml><?xml version="1.0" encoding="utf-8"?>
<table xmlns="http://schemas.openxmlformats.org/spreadsheetml/2006/main" id="10" name="Table_10" displayName="Table_10" ref="A1:G34" headerRowCount="1">
  <tableColumns count="7">
    <tableColumn id="1" name="Sprint"/>
    <tableColumn id="2" name="Goal"/>
    <tableColumn id="3" name="Feature Name"/>
    <tableColumn id="4" name="Est. size"/>
    <tableColumn id="5" name="Est. remaining"/>
    <tableColumn id="6" name="Real size"/>
    <tableColumn id="7" name="Real remaining"/>
  </tableColumns>
  <tableStyleInfo name="Final Project Release plan-style" showFirstColumn="1" showLastColumn="1" showRowStripes="1" showColumnStripes="0"/>
</table>
</file>

<file path=xl/tables/table11.xml><?xml version="1.0" encoding="utf-8"?>
<table xmlns="http://schemas.openxmlformats.org/spreadsheetml/2006/main" id="11" name="Table_11" displayName="Table_11" ref="A1:D20" headerRowCount="1">
  <tableColumns count="4">
    <tableColumn id="1" name="#"/>
    <tableColumn id="2" name="Feature Definition of Done"/>
    <tableColumn id="3" name="Sprint Release Definition of Done"/>
    <tableColumn id="4" name="Project Release Definition of Done"/>
  </tableColumns>
  <tableStyleInfo name="Definition of Done-style" showFirstColumn="1" showLastColumn="1" showRowStripes="1" showColumnStripes="0"/>
</table>
</file>

<file path=xl/tables/table12.xml><?xml version="1.0" encoding="utf-8"?>
<table xmlns="http://schemas.openxmlformats.org/spreadsheetml/2006/main" id="12" name="Table_12" displayName="Table_12" ref="A1:B20" headerRowCount="1">
  <tableColumns count="2">
    <tableColumn id="1" name="Type"/>
    <tableColumn id="2" name="Link / reference"/>
  </tableColumns>
  <tableStyleInfo name="Documentation-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au.zoom-x.de/j/62836031488" TargetMode="External" Id="rId1" /><Relationship Type="http://schemas.openxmlformats.org/officeDocument/2006/relationships/hyperlink" Target="https://github.com/amosproj/amos2025ws04-robot-visual-perception" TargetMode="External" Id="rId2" /><Relationship Type="http://schemas.openxmlformats.org/officeDocument/2006/relationships/hyperlink" Target="https://github.com/orgs/amosproj/projects/92" TargetMode="External" Id="rId3" /><Relationship Type="http://schemas.openxmlformats.org/officeDocument/2006/relationships/hyperlink" Target="https://github.com/orgs/amosproj/projects/95" TargetMode="External" Id="rId4" /><Relationship Type="http://schemas.openxmlformats.org/officeDocument/2006/relationships/hyperlink" Target="https://www.shirtinator.de/s/E_eIf-ElT4iidRVnqM8J5w" TargetMode="External" Id="rId5" /><Relationship Type="http://schemas.openxmlformats.org/officeDocument/2006/relationships/hyperlink" Target="https://www.shirtinator.de/s/R0CANDdWTRCOvCohq_encA" TargetMode="External" Id="rId6" /><Relationship Type="http://schemas.openxmlformats.org/officeDocument/2006/relationships/hyperlink" Target="https://discord.gg/VDqD2Zfb" TargetMode="External" Id="rId7" /><Relationship Type="http://schemas.openxmlformats.org/officeDocument/2006/relationships/hyperlink" Target="https://happy-amos.appspot.com/" TargetMode="External" Id="rId8" /><Relationship Type="http://schemas.openxmlformats.org/officeDocument/2006/relationships/table" Target="/xl/tables/table1.xml" Id="rId9" /></Relationships>
</file>

<file path=xl/worksheets/_rels/sheet2.xml.rels><Relationships xmlns="http://schemas.openxmlformats.org/package/2006/relationships"><Relationship Type="http://schemas.openxmlformats.org/officeDocument/2006/relationships/hyperlink" Target="http://anuun.ch/" TargetMode="External" Id="rId1" /><Relationship Type="http://schemas.openxmlformats.org/officeDocument/2006/relationships/table" Target="/xl/tables/table2.xml" Id="rId2"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drawing" Target="/xl/drawings/drawing1.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drawing" Target="/xl/drawings/drawing2.xml" Id="rId1" /><Relationship Type="http://schemas.openxmlformats.org/officeDocument/2006/relationships/table" Target="/xl/tables/table9.xml" Id="rId2"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3.xml.rels><Relationships xmlns="http://schemas.openxmlformats.org/package/2006/relationships"><Relationship Type="http://schemas.openxmlformats.org/officeDocument/2006/relationships/table" Target="/xl/tables/table11.xml" Id="rId1" /></Relationships>
</file>

<file path=xl/worksheets/_rels/sheet14.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0" summaryRight="0"/>
    <pageSetUpPr fitToPage="1"/>
  </sheetPr>
  <dimension ref="A1:B20"/>
  <sheetViews>
    <sheetView workbookViewId="0">
      <pane ySplit="1" topLeftCell="A2" activePane="bottomLeft" state="frozen"/>
      <selection pane="bottomLeft" activeCell="B3" sqref="B3"/>
    </sheetView>
  </sheetViews>
  <sheetFormatPr baseColWidth="8" defaultColWidth="12.63" defaultRowHeight="12.75" customHeight="1"/>
  <cols>
    <col width="25.13" customWidth="1" style="123" min="1" max="1"/>
    <col width="100.13" customWidth="1" style="123" min="2" max="2"/>
  </cols>
  <sheetData>
    <row r="1">
      <c r="A1" s="44" t="inlineStr">
        <is>
          <t>Project Name</t>
        </is>
      </c>
      <c r="B1" s="35" t="inlineStr">
        <is>
          <t>Robot Visual Perception</t>
        </is>
      </c>
    </row>
    <row r="2">
      <c r="A2" s="44" t="n"/>
      <c r="B2" s="35" t="n"/>
    </row>
    <row r="3">
      <c r="A3" s="44" t="inlineStr">
        <is>
          <t>Online team meeting</t>
        </is>
      </c>
      <c r="B3" s="5" t="inlineStr">
        <is>
          <t>https://fau.zoom-x.de/j/62836031488</t>
        </is>
      </c>
    </row>
    <row r="4">
      <c r="A4" s="44" t="n"/>
      <c r="B4" s="35" t="n"/>
    </row>
    <row r="5">
      <c r="A5" s="44" t="inlineStr">
        <is>
          <t>Production system (if any)</t>
        </is>
      </c>
      <c r="B5" s="35" t="inlineStr">
        <is>
          <t>Service Provided (later in the Project)</t>
        </is>
      </c>
    </row>
    <row r="6">
      <c r="A6" s="44" t="inlineStr">
        <is>
          <t>Test system (if any)</t>
        </is>
      </c>
      <c r="B6" s="35" t="inlineStr">
        <is>
          <t>Local Webcam</t>
        </is>
      </c>
    </row>
    <row r="7">
      <c r="A7" s="44" t="n"/>
      <c r="B7" s="35" t="n"/>
    </row>
    <row r="8">
      <c r="A8" s="44" t="inlineStr">
        <is>
          <t>GitHub repository</t>
        </is>
      </c>
      <c r="B8" s="6" t="inlineStr">
        <is>
          <t>https://github.com/amosproj/amos2025ws04-robot-visual-perception</t>
        </is>
      </c>
    </row>
    <row r="9">
      <c r="A9" s="44" t="inlineStr">
        <is>
          <t>GitHub feature board</t>
        </is>
      </c>
      <c r="B9" s="6" t="inlineStr">
        <is>
          <t>https://github.com/orgs/amosproj/projects/92</t>
        </is>
      </c>
    </row>
    <row r="10">
      <c r="A10" s="44" t="inlineStr">
        <is>
          <t>GitHub imp-squared backlog</t>
        </is>
      </c>
      <c r="B10" s="6" t="inlineStr">
        <is>
          <t>https://github.com/orgs/amosproj/projects/95</t>
        </is>
      </c>
    </row>
    <row r="11">
      <c r="A11" s="44" t="n"/>
      <c r="B11" s="35" t="n"/>
    </row>
    <row r="12">
      <c r="A12" s="44" t="inlineStr">
        <is>
          <t>Team T-shirt (white)</t>
        </is>
      </c>
      <c r="B12" s="6" t="inlineStr">
        <is>
          <t>https://www.shirtinator.de/s/E_eIf-ElT4iidRVnqM8J5w</t>
        </is>
      </c>
    </row>
    <row r="13">
      <c r="A13" s="44" t="inlineStr">
        <is>
          <t>Team T-shirt (black)</t>
        </is>
      </c>
      <c r="B13" s="6" t="inlineStr">
        <is>
          <t>https://www.shirtinator.de/s/R0CANDdWTRCOvCohq_encA</t>
        </is>
      </c>
    </row>
    <row r="14">
      <c r="A14" s="44" t="n"/>
      <c r="B14" s="35" t="n"/>
    </row>
    <row r="15">
      <c r="A15" s="44" t="inlineStr">
        <is>
          <t>Additional materials</t>
        </is>
      </c>
      <c r="B15" s="6" t="inlineStr">
        <is>
          <t>https://discord.gg/VDqD2Zfb</t>
        </is>
      </c>
    </row>
    <row r="16">
      <c r="A16" s="44" t="n"/>
      <c r="B16" s="35" t="n"/>
    </row>
    <row r="17">
      <c r="A17" s="44" t="inlineStr">
        <is>
          <t>Team maling list</t>
        </is>
      </c>
      <c r="B17" s="35" t="inlineStr">
        <is>
          <t>oss-amos-proj4@lists.fau.de</t>
        </is>
      </c>
    </row>
    <row r="18">
      <c r="A18" s="44" t="n"/>
      <c r="B18" s="35" t="n"/>
    </row>
    <row r="19">
      <c r="A19" s="44" t="n"/>
      <c r="B19" s="7" t="inlineStr">
        <is>
          <t>https://happy-amos.appspot.com/</t>
        </is>
      </c>
    </row>
    <row r="20">
      <c r="A20" s="44" t="n"/>
      <c r="B20" s="35" t="inlineStr">
        <is>
          <t>Please use our mailing list for written communication. Only CC teachers (university) and coaches on specific topics, as the mailing lists are very long.</t>
        </is>
      </c>
    </row>
  </sheetData>
  <hyperlinks>
    <hyperlink xmlns:r="http://schemas.openxmlformats.org/officeDocument/2006/relationships" ref="B3"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2" r:id="rId5"/>
    <hyperlink xmlns:r="http://schemas.openxmlformats.org/officeDocument/2006/relationships" ref="B13" r:id="rId6"/>
    <hyperlink xmlns:r="http://schemas.openxmlformats.org/officeDocument/2006/relationships" ref="B15" r:id="rId7"/>
    <hyperlink xmlns:r="http://schemas.openxmlformats.org/officeDocument/2006/relationships" ref="B19" r:id="rId8"/>
  </hyperlinks>
  <printOptions horizontalCentered="1" gridLines="1"/>
  <pageMargins left="0.7" right="0.7" top="0.75" bottom="0.75" header="0" footer="0"/>
  <pageSetup orientation="landscape" paperSize="9" fitToHeight="0" pageOrder="overThenDown" cellComments="atEnd"/>
  <tableParts count="1">
    <tablePart xmlns:r="http://schemas.openxmlformats.org/officeDocument/2006/relationships" r:id="rId9"/>
  </tableParts>
</worksheet>
</file>

<file path=xl/worksheets/sheet2.xml><?xml version="1.0" encoding="utf-8"?>
<worksheet xmlns="http://schemas.openxmlformats.org/spreadsheetml/2006/main">
  <sheetPr>
    <outlinePr summaryBelow="0" summaryRight="0"/>
    <pageSetUpPr/>
  </sheetPr>
  <dimension ref="A1:D19"/>
  <sheetViews>
    <sheetView workbookViewId="0">
      <pane ySplit="1" topLeftCell="A2" activePane="bottomLeft" state="frozen"/>
      <selection pane="bottomLeft" activeCell="B3" sqref="B3"/>
    </sheetView>
  </sheetViews>
  <sheetFormatPr baseColWidth="8" defaultColWidth="12.63" defaultRowHeight="12.75" customHeight="1"/>
  <cols>
    <col width="31.38" customWidth="1" style="123" min="1" max="4"/>
  </cols>
  <sheetData>
    <row r="1">
      <c r="A1" s="13" t="inlineStr">
        <is>
          <t>Last Name</t>
        </is>
      </c>
      <c r="B1" s="13" t="inlineStr">
        <is>
          <t>First Name</t>
        </is>
      </c>
      <c r="C1" s="13" t="inlineStr">
        <is>
          <t>GitHub User Name</t>
        </is>
      </c>
      <c r="D1" s="13" t="inlineStr">
        <is>
          <t>Email Address</t>
        </is>
      </c>
    </row>
    <row r="2">
      <c r="A2" s="78" t="inlineStr">
        <is>
          <t>Hilgers</t>
        </is>
      </c>
      <c r="B2" s="78" t="inlineStr">
        <is>
          <t>Felix</t>
        </is>
      </c>
      <c r="C2" s="78" t="inlineStr">
        <is>
          <t>fhilgers</t>
        </is>
      </c>
      <c r="D2" s="78" t="inlineStr">
        <is>
          <t>felix.hilgers@fau.de</t>
        </is>
      </c>
    </row>
    <row r="3">
      <c r="A3" s="78" t="inlineStr">
        <is>
          <t>Samdani</t>
        </is>
      </c>
      <c r="B3" s="78" t="inlineStr">
        <is>
          <t>Sarib</t>
        </is>
      </c>
      <c r="C3" s="78" t="inlineStr">
        <is>
          <t>saribx</t>
        </is>
      </c>
      <c r="D3" s="78" t="inlineStr">
        <is>
          <t>saribstudent@gmail.com</t>
        </is>
      </c>
    </row>
    <row r="4">
      <c r="A4" s="78" t="inlineStr">
        <is>
          <t>Chinbat</t>
        </is>
      </c>
      <c r="B4" s="78" t="inlineStr">
        <is>
          <t>Anuun</t>
        </is>
      </c>
      <c r="C4" s="78" t="inlineStr">
        <is>
          <t>anuunchin</t>
        </is>
      </c>
      <c r="D4" s="10" t="inlineStr">
        <is>
          <t>anuun.ch@gmail.com</t>
        </is>
      </c>
    </row>
    <row r="5">
      <c r="A5" s="78" t="inlineStr">
        <is>
          <t>Goldschmidt</t>
        </is>
      </c>
      <c r="B5" s="78" t="inlineStr">
        <is>
          <t>Georgina</t>
        </is>
      </c>
      <c r="C5" s="78" t="inlineStr">
        <is>
          <t>bu31punu</t>
        </is>
      </c>
      <c r="D5" s="78" t="inlineStr">
        <is>
          <t>dzsini.lost@gmail.com</t>
        </is>
      </c>
    </row>
    <row r="6">
      <c r="A6" s="78" t="inlineStr">
        <is>
          <t>Zinn</t>
        </is>
      </c>
      <c r="B6" s="78" t="inlineStr">
        <is>
          <t>Benedikt</t>
        </is>
      </c>
      <c r="C6" s="78" t="inlineStr">
        <is>
          <t>BenediktZinn</t>
        </is>
      </c>
      <c r="D6" s="78" t="inlineStr">
        <is>
          <t>benedikt.wh.zinn@gmail.com</t>
        </is>
      </c>
    </row>
    <row r="7">
      <c r="A7" s="78" t="inlineStr">
        <is>
          <t>Badura</t>
        </is>
      </c>
      <c r="B7" s="78" t="inlineStr">
        <is>
          <t>Emil</t>
        </is>
      </c>
      <c r="C7" s="78" t="inlineStr">
        <is>
          <t>Tenebrae311</t>
        </is>
      </c>
      <c r="D7" s="78" t="inlineStr">
        <is>
          <t>badura@tu-berlin.de</t>
        </is>
      </c>
    </row>
    <row r="8">
      <c r="A8" s="78" t="inlineStr">
        <is>
          <t>Assenbaum</t>
        </is>
      </c>
      <c r="B8" s="78" t="inlineStr">
        <is>
          <t>Paul</t>
        </is>
      </c>
      <c r="C8" s="78" t="inlineStr">
        <is>
          <t>Paul2607</t>
        </is>
      </c>
      <c r="D8" s="78" t="inlineStr">
        <is>
          <t>paul.assenbaum@fau.de</t>
        </is>
      </c>
    </row>
    <row r="9">
      <c r="A9" s="78" t="inlineStr">
        <is>
          <t>Mantsch</t>
        </is>
      </c>
      <c r="B9" s="78" t="inlineStr">
        <is>
          <t>Christoph</t>
        </is>
      </c>
      <c r="C9" s="78" t="inlineStr">
        <is>
          <t>Christoph-Mantsch</t>
        </is>
      </c>
      <c r="D9" s="78" t="inlineStr">
        <is>
          <t>christoph.cm.mantsch@fau.de</t>
        </is>
      </c>
    </row>
    <row r="10">
      <c r="A10" s="78" t="inlineStr">
        <is>
          <t>Asadi</t>
        </is>
      </c>
      <c r="B10" s="78" t="inlineStr">
        <is>
          <t>Zohreh</t>
        </is>
      </c>
      <c r="C10" s="78" t="inlineStr">
        <is>
          <t>zohrehasadi00</t>
        </is>
      </c>
      <c r="D10" s="78" t="inlineStr">
        <is>
          <t>z.asadi@campus.tu-berlin.de</t>
        </is>
      </c>
    </row>
    <row r="11">
      <c r="A11" s="78" t="n"/>
      <c r="B11" s="78" t="n"/>
      <c r="C11" s="78" t="n"/>
      <c r="D11" s="78" t="n"/>
    </row>
    <row r="12">
      <c r="A12" s="13" t="n"/>
      <c r="B12" s="13" t="n"/>
      <c r="C12" s="13" t="n"/>
      <c r="D12" s="13" t="n"/>
    </row>
    <row r="13">
      <c r="A13" s="78" t="n"/>
      <c r="B13" s="78" t="n"/>
      <c r="C13" s="78" t="n"/>
      <c r="D13" s="78" t="n"/>
    </row>
    <row r="14">
      <c r="A14" s="78" t="n"/>
      <c r="B14" s="78" t="n"/>
      <c r="C14" s="78" t="n"/>
      <c r="D14" s="78" t="n"/>
    </row>
    <row r="15">
      <c r="A15" s="78" t="n"/>
      <c r="B15" s="78" t="n"/>
      <c r="C15" s="78" t="n"/>
      <c r="D15" s="78" t="n"/>
    </row>
    <row r="16">
      <c r="A16" s="78" t="n"/>
      <c r="B16" s="78" t="n"/>
      <c r="C16" s="78" t="n"/>
      <c r="D16" s="78" t="n"/>
    </row>
    <row r="17">
      <c r="A17" s="78" t="n"/>
      <c r="B17" s="78" t="n"/>
      <c r="C17" s="78" t="n"/>
      <c r="D17" s="78" t="n"/>
    </row>
    <row r="18">
      <c r="A18" s="78" t="n"/>
      <c r="B18" s="78" t="n"/>
      <c r="C18" s="78" t="n"/>
      <c r="D18" s="78" t="n"/>
    </row>
    <row r="19">
      <c r="A19" s="78" t="n"/>
      <c r="B19" s="78" t="n"/>
      <c r="C19" s="78" t="n"/>
      <c r="D19" s="78" t="n"/>
    </row>
  </sheetData>
  <hyperlinks>
    <hyperlink xmlns:r="http://schemas.openxmlformats.org/officeDocument/2006/relationships" ref="D4"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0" summaryRight="0"/>
    <pageSetUpPr fitToPage="1"/>
  </sheetPr>
  <dimension ref="A1:H21"/>
  <sheetViews>
    <sheetView workbookViewId="0">
      <pane ySplit="2" topLeftCell="A3" activePane="bottomLeft" state="frozen"/>
      <selection pane="bottomLeft" activeCell="B4" sqref="B4"/>
    </sheetView>
  </sheetViews>
  <sheetFormatPr baseColWidth="8" defaultColWidth="12.63" defaultRowHeight="12.75" customHeight="1"/>
  <cols>
    <col width="5.5" customWidth="1" style="123" min="1" max="1"/>
    <col width="12.63" customWidth="1" style="123" min="2" max="2"/>
    <col width="18.88" customWidth="1" style="123" min="3" max="7"/>
    <col width="50.13" customWidth="1" style="123" min="8" max="8"/>
  </cols>
  <sheetData>
    <row r="1">
      <c r="A1" s="15" t="n"/>
      <c r="B1" s="15" t="n"/>
      <c r="C1" s="15" t="inlineStr">
        <is>
          <t>Product Owner</t>
        </is>
      </c>
      <c r="E1" s="15" t="n"/>
      <c r="F1" s="15" t="n"/>
      <c r="G1" s="15" t="n"/>
      <c r="H1" s="15" t="n"/>
    </row>
    <row r="2">
      <c r="A2" s="17" t="inlineStr">
        <is>
          <t>#</t>
        </is>
      </c>
      <c r="B2" s="17" t="inlineStr">
        <is>
          <t>Meeting Day</t>
        </is>
      </c>
      <c r="C2" s="17" t="inlineStr">
        <is>
          <t>Review</t>
        </is>
      </c>
      <c r="D2" s="17" t="inlineStr">
        <is>
          <t>Planning</t>
        </is>
      </c>
      <c r="E2" s="17" t="inlineStr">
        <is>
          <t>Software Developer</t>
        </is>
      </c>
      <c r="F2" s="17" t="inlineStr">
        <is>
          <t>Release Manager</t>
        </is>
      </c>
      <c r="G2" s="17" t="inlineStr">
        <is>
          <t>Scrum Master</t>
        </is>
      </c>
      <c r="H2" s="17" t="inlineStr">
        <is>
          <t>Comment</t>
        </is>
      </c>
    </row>
    <row r="3">
      <c r="A3" s="18" t="n">
        <v>1</v>
      </c>
      <c r="B3" s="21" t="n">
        <v>45952</v>
      </c>
      <c r="C3" s="78" t="inlineStr">
        <is>
          <t>Felix Hilgers</t>
        </is>
      </c>
      <c r="D3" s="78" t="inlineStr">
        <is>
          <t>Benedikt Zinn</t>
        </is>
      </c>
      <c r="E3" s="78" t="inlineStr">
        <is>
          <t>Everyone else</t>
        </is>
      </c>
      <c r="F3" s="78" t="inlineStr">
        <is>
          <t>Paul Assenbaum</t>
        </is>
      </c>
      <c r="G3" s="78" t="inlineStr">
        <is>
          <t>Georgina Goldschmidt</t>
        </is>
      </c>
      <c r="H3" s="26" t="inlineStr">
        <is>
          <t>(Tuesday 21. Discord for Release process example)</t>
        </is>
      </c>
    </row>
    <row r="4">
      <c r="A4" s="18" t="n">
        <v>2</v>
      </c>
      <c r="B4" s="21">
        <f>B3+7</f>
        <v/>
      </c>
      <c r="C4" s="78" t="inlineStr">
        <is>
          <t>Benedikt Zinn</t>
        </is>
      </c>
      <c r="D4" s="78" t="inlineStr">
        <is>
          <t>Felix Hilgers</t>
        </is>
      </c>
      <c r="E4" s="78" t="inlineStr">
        <is>
          <t>Everyone else</t>
        </is>
      </c>
      <c r="F4" s="78" t="inlineStr">
        <is>
          <t>Anuun Chinbat</t>
        </is>
      </c>
      <c r="G4" s="78" t="inlineStr">
        <is>
          <t>Georgina Goldschmidt</t>
        </is>
      </c>
      <c r="H4" s="25" t="n"/>
    </row>
    <row r="5">
      <c r="A5" s="18" t="n">
        <v>3</v>
      </c>
      <c r="B5" s="21">
        <f>B4+7</f>
        <v/>
      </c>
      <c r="C5" s="78" t="inlineStr">
        <is>
          <t>Benedikt Zinn</t>
        </is>
      </c>
      <c r="D5" s="78" t="inlineStr">
        <is>
          <t>Felix Hilgers</t>
        </is>
      </c>
      <c r="E5" s="78" t="inlineStr">
        <is>
          <t>Everyone else</t>
        </is>
      </c>
      <c r="F5" s="78" t="inlineStr">
        <is>
          <t>Sarib Samdani</t>
        </is>
      </c>
      <c r="G5" s="78" t="inlineStr">
        <is>
          <t>Georgina Goldschmidt</t>
        </is>
      </c>
      <c r="H5" s="25" t="n"/>
    </row>
    <row r="6">
      <c r="A6" s="18" t="n">
        <v>4</v>
      </c>
      <c r="B6" s="21">
        <f>B5+7</f>
        <v/>
      </c>
      <c r="C6" s="78" t="inlineStr">
        <is>
          <t>Felix Hilgers</t>
        </is>
      </c>
      <c r="D6" s="78" t="inlineStr">
        <is>
          <t>Benedikt Zinn</t>
        </is>
      </c>
      <c r="E6" s="78" t="inlineStr">
        <is>
          <t>Everyone else</t>
        </is>
      </c>
      <c r="F6" s="78" t="inlineStr">
        <is>
          <t>Sarib Samdani</t>
        </is>
      </c>
      <c r="G6" s="78" t="inlineStr">
        <is>
          <t>Georgina Goldschmidt</t>
        </is>
      </c>
      <c r="H6" s="25" t="n"/>
    </row>
    <row r="7">
      <c r="A7" s="18" t="n">
        <v>5</v>
      </c>
      <c r="B7" s="21">
        <f>B6+7</f>
        <v/>
      </c>
      <c r="C7" s="78" t="inlineStr">
        <is>
          <t>Felix Hilgers</t>
        </is>
      </c>
      <c r="D7" s="78" t="inlineStr">
        <is>
          <t>Benedikt Zinn</t>
        </is>
      </c>
      <c r="E7" s="78" t="inlineStr">
        <is>
          <t>Everyone else</t>
        </is>
      </c>
      <c r="F7" s="78" t="inlineStr">
        <is>
          <t>Anuun Chinbat</t>
        </is>
      </c>
      <c r="G7" s="78" t="inlineStr">
        <is>
          <t>Georgina Goldschmidt</t>
        </is>
      </c>
      <c r="H7" s="25" t="n"/>
    </row>
    <row r="8">
      <c r="A8" s="18" t="n">
        <v>6</v>
      </c>
      <c r="B8" s="21">
        <f>B7+7</f>
        <v/>
      </c>
      <c r="C8" s="78" t="inlineStr">
        <is>
          <t>Benedikt Zinn</t>
        </is>
      </c>
      <c r="D8" s="78" t="inlineStr">
        <is>
          <t>Felix Hilgers</t>
        </is>
      </c>
      <c r="E8" s="78" t="inlineStr">
        <is>
          <t>Everyone else</t>
        </is>
      </c>
      <c r="F8" s="78" t="inlineStr">
        <is>
          <t>Emil Badura</t>
        </is>
      </c>
      <c r="G8" s="78" t="inlineStr">
        <is>
          <t>Georgina Goldschmidt</t>
        </is>
      </c>
      <c r="H8" s="25" t="n"/>
    </row>
    <row r="9">
      <c r="A9" s="18" t="n">
        <v>7</v>
      </c>
      <c r="B9" s="21">
        <f>B8+7</f>
        <v/>
      </c>
      <c r="C9" s="78" t="inlineStr">
        <is>
          <t>Felix Hilgers</t>
        </is>
      </c>
      <c r="D9" s="78" t="inlineStr">
        <is>
          <t>Benedikt Zinn</t>
        </is>
      </c>
      <c r="E9" s="78" t="inlineStr">
        <is>
          <t>Everyone else</t>
        </is>
      </c>
      <c r="F9" s="78" t="inlineStr">
        <is>
          <t>Emil Badura</t>
        </is>
      </c>
      <c r="G9" s="78" t="inlineStr">
        <is>
          <t>Georgina Goldschmidt</t>
        </is>
      </c>
      <c r="H9" s="26" t="inlineStr">
        <is>
          <t>Mid-term due</t>
        </is>
      </c>
    </row>
    <row r="10">
      <c r="A10" s="18" t="n">
        <v>8</v>
      </c>
      <c r="B10" s="21">
        <f>B9+7</f>
        <v/>
      </c>
      <c r="C10" s="78" t="inlineStr">
        <is>
          <t>Benedikt Zinn</t>
        </is>
      </c>
      <c r="D10" s="78" t="inlineStr">
        <is>
          <t>Felix Hilgers</t>
        </is>
      </c>
      <c r="E10" s="78" t="inlineStr">
        <is>
          <t>Everyone else</t>
        </is>
      </c>
      <c r="F10" s="78" t="inlineStr">
        <is>
          <t>Paul Assenbaum</t>
        </is>
      </c>
      <c r="G10" s="78" t="inlineStr">
        <is>
          <t>Georgina Goldschmidt</t>
        </is>
      </c>
      <c r="H10" s="25" t="n"/>
    </row>
    <row r="11">
      <c r="A11" s="18" t="n">
        <v>9</v>
      </c>
      <c r="B11" s="21">
        <f>B10+7</f>
        <v/>
      </c>
      <c r="C11" s="78" t="inlineStr">
        <is>
          <t>Felix Hilgers</t>
        </is>
      </c>
      <c r="D11" s="78" t="inlineStr">
        <is>
          <t>Benedikt Zinn</t>
        </is>
      </c>
      <c r="E11" s="78" t="inlineStr">
        <is>
          <t>Everyone else</t>
        </is>
      </c>
      <c r="F11" s="78" t="inlineStr">
        <is>
          <t>Christoph Mantsch</t>
        </is>
      </c>
      <c r="G11" s="78" t="inlineStr">
        <is>
          <t>Georgina Goldschmidt</t>
        </is>
      </c>
      <c r="H11" s="25" t="n"/>
    </row>
    <row r="12">
      <c r="A12" s="18" t="n">
        <v>10</v>
      </c>
      <c r="B12" s="21" t="n">
        <v>44937</v>
      </c>
      <c r="C12" s="78" t="inlineStr">
        <is>
          <t>Benedikt Zinn</t>
        </is>
      </c>
      <c r="D12" s="78" t="inlineStr">
        <is>
          <t>Felix Hilgers</t>
        </is>
      </c>
      <c r="E12" s="78" t="inlineStr">
        <is>
          <t>Everyone else</t>
        </is>
      </c>
      <c r="F12" s="78" t="inlineStr">
        <is>
          <t>Christoph Mantsch</t>
        </is>
      </c>
      <c r="G12" s="78" t="inlineStr">
        <is>
          <t>Georgina Goldschmidt</t>
        </is>
      </c>
      <c r="H12" s="25" t="n"/>
    </row>
    <row r="13">
      <c r="A13" s="18" t="n">
        <v>11</v>
      </c>
      <c r="B13" s="21">
        <f>B12+7</f>
        <v/>
      </c>
      <c r="C13" s="78" t="inlineStr">
        <is>
          <t>Felix Hilgers</t>
        </is>
      </c>
      <c r="D13" s="78" t="inlineStr">
        <is>
          <t>Benedikt Zinn</t>
        </is>
      </c>
      <c r="E13" s="78" t="inlineStr">
        <is>
          <t>Everyone else</t>
        </is>
      </c>
      <c r="F13" s="78" t="inlineStr">
        <is>
          <t>Zohreh Asadi</t>
        </is>
      </c>
      <c r="G13" s="78" t="inlineStr">
        <is>
          <t>Georgina Goldschmidt</t>
        </is>
      </c>
      <c r="H13" s="25" t="n"/>
    </row>
    <row r="14">
      <c r="A14" s="18" t="n">
        <v>12</v>
      </c>
      <c r="B14" s="21">
        <f>B13+7</f>
        <v/>
      </c>
      <c r="C14" s="78" t="inlineStr">
        <is>
          <t>Benedikt Zinn</t>
        </is>
      </c>
      <c r="D14" s="78" t="inlineStr">
        <is>
          <t>Felix Hilgers</t>
        </is>
      </c>
      <c r="E14" s="78" t="inlineStr">
        <is>
          <t>Everyone else</t>
        </is>
      </c>
      <c r="F14" s="78" t="inlineStr">
        <is>
          <t>Zohreh Asadi</t>
        </is>
      </c>
      <c r="G14" s="78" t="inlineStr">
        <is>
          <t>Georgina Goldschmidt</t>
        </is>
      </c>
      <c r="H14" s="25" t="n"/>
    </row>
    <row r="15">
      <c r="A15" s="18" t="n">
        <v>13</v>
      </c>
      <c r="B15" s="21">
        <f>B14+7</f>
        <v/>
      </c>
      <c r="C15" s="78" t="inlineStr">
        <is>
          <t>Felix Hilgers</t>
        </is>
      </c>
      <c r="D15" s="78" t="inlineStr">
        <is>
          <t>Benedikt Zinn</t>
        </is>
      </c>
      <c r="E15" s="78" t="inlineStr">
        <is>
          <t>Everyone else</t>
        </is>
      </c>
      <c r="F15" s="78" t="n"/>
      <c r="G15" s="78" t="inlineStr">
        <is>
          <t>Georgina Goldschmidt</t>
        </is>
      </c>
      <c r="H15" s="25" t="n"/>
    </row>
    <row r="16">
      <c r="A16" s="18" t="n">
        <v>14</v>
      </c>
      <c r="B16" s="21">
        <f>B15+7</f>
        <v/>
      </c>
      <c r="C16" s="78" t="inlineStr">
        <is>
          <t>Benedikt Zinn</t>
        </is>
      </c>
      <c r="D16" s="78" t="inlineStr">
        <is>
          <t>Felix Hilgers</t>
        </is>
      </c>
      <c r="E16" s="78" t="inlineStr">
        <is>
          <t>Everyone else</t>
        </is>
      </c>
      <c r="F16" s="78" t="n"/>
      <c r="G16" s="78" t="inlineStr">
        <is>
          <t>Georgina Goldschmidt</t>
        </is>
      </c>
      <c r="H16" s="26" t="inlineStr">
        <is>
          <t>Demo day!</t>
        </is>
      </c>
    </row>
    <row r="17">
      <c r="A17" s="18" t="n">
        <v>15</v>
      </c>
      <c r="B17" s="21">
        <f>B16+7</f>
        <v/>
      </c>
      <c r="C17" s="78" t="inlineStr">
        <is>
          <t>Felix Hilgers</t>
        </is>
      </c>
      <c r="D17" s="78" t="inlineStr">
        <is>
          <t>Benedikt Zinn</t>
        </is>
      </c>
      <c r="E17" s="78" t="inlineStr">
        <is>
          <t>Everyone else</t>
        </is>
      </c>
      <c r="F17" s="78" t="n"/>
      <c r="G17" s="78" t="inlineStr">
        <is>
          <t>Georgina Goldschmidt</t>
        </is>
      </c>
      <c r="H17" s="26" t="inlineStr">
        <is>
          <t>Retrospective</t>
        </is>
      </c>
    </row>
    <row r="18">
      <c r="A18" s="18" t="n"/>
      <c r="B18" s="23" t="n"/>
      <c r="C18" s="78" t="n"/>
      <c r="D18" s="78" t="n"/>
      <c r="E18" s="78" t="n"/>
      <c r="F18" s="78" t="n"/>
      <c r="G18" s="78" t="n"/>
      <c r="H18" s="25" t="n"/>
    </row>
    <row r="19">
      <c r="A19" s="26" t="inlineStr">
        <is>
          <t>Product owners, software developers, and Scurm Master are set and ideally don't change over time; the critical part is the Release Manager role you need to define here</t>
        </is>
      </c>
      <c r="B19" s="25" t="n"/>
      <c r="C19" s="26" t="n"/>
      <c r="D19" s="26" t="n"/>
      <c r="E19" s="26" t="n"/>
      <c r="F19" s="26" t="n"/>
      <c r="G19" s="26" t="n"/>
      <c r="H19" s="25" t="n"/>
    </row>
    <row r="20">
      <c r="A20" s="26" t="n"/>
      <c r="B20" s="23" t="n"/>
      <c r="C20" s="78" t="n"/>
      <c r="D20" s="78" t="n"/>
      <c r="E20" s="78" t="n"/>
      <c r="F20" s="78" t="n"/>
      <c r="G20" s="78" t="n"/>
      <c r="H20" s="25" t="n"/>
    </row>
    <row r="21">
      <c r="A21" s="18" t="n"/>
      <c r="B21" s="23" t="n"/>
      <c r="C21" s="78" t="n"/>
      <c r="D21" s="78" t="n"/>
      <c r="E21" s="78" t="n"/>
      <c r="F21" s="78" t="n"/>
      <c r="G21" s="78" t="n"/>
      <c r="H21" s="25" t="n"/>
    </row>
  </sheetData>
  <mergeCells count="1">
    <mergeCell ref="C1:D1"/>
  </mergeCells>
  <printOptions horizontalCentered="1" gridLines="1"/>
  <pageMargins left="0.7" right="0.7" top="0.75" bottom="0.75" header="0" footer="0"/>
  <pageSetup orientation="landscape" paperSize="9" fitToHeight="0" pageOrder="overThenDown" cellComments="atEn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0" summaryRight="0"/>
    <pageSetUpPr fitToPage="1"/>
  </sheetPr>
  <dimension ref="A1:B29"/>
  <sheetViews>
    <sheetView workbookViewId="0">
      <selection activeCell="A1" sqref="A1"/>
    </sheetView>
  </sheetViews>
  <sheetFormatPr baseColWidth="8" defaultColWidth="12.63" defaultRowHeight="12.75" customHeight="1"/>
  <cols>
    <col width="25.13" customWidth="1" style="123" min="1" max="1"/>
    <col width="100.13" customWidth="1" style="123" min="2" max="2"/>
  </cols>
  <sheetData>
    <row r="1">
      <c r="A1" s="33" t="inlineStr">
        <is>
          <t>Goals</t>
        </is>
      </c>
      <c r="B1" s="82" t="inlineStr">
        <is>
          <t>Development of a visual perception system for robots with an accuracy of &gt;= 90%</t>
        </is>
      </c>
    </row>
    <row r="2">
      <c r="A2" s="72" t="n"/>
      <c r="B2" s="72" t="n"/>
    </row>
    <row r="3">
      <c r="A3" s="33" t="inlineStr">
        <is>
          <t>Meeting norms</t>
        </is>
      </c>
      <c r="B3" s="82" t="inlineStr">
        <is>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is>
      </c>
    </row>
    <row r="4">
      <c r="A4" s="72" t="n"/>
      <c r="B4" s="72" t="n"/>
    </row>
    <row r="5">
      <c r="A5" s="33" t="inlineStr">
        <is>
          <t>Working norms</t>
        </is>
      </c>
      <c r="B5" s="82" t="inlineStr">
        <is>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is>
      </c>
    </row>
    <row r="6">
      <c r="A6" s="72" t="n"/>
      <c r="B6" s="72" t="n"/>
    </row>
    <row r="7">
      <c r="A7" s="33" t="inlineStr">
        <is>
          <t>Coordination norms</t>
        </is>
      </c>
      <c r="B7" s="82" t="inlineStr">
        <is>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is>
      </c>
    </row>
    <row r="8">
      <c r="A8" s="72" t="n"/>
      <c r="B8" s="72" t="n"/>
    </row>
    <row r="9">
      <c r="A9" s="33" t="inlineStr">
        <is>
          <t>Communication norms</t>
        </is>
      </c>
      <c r="B9" s="82" t="inlineStr">
        <is>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is>
      </c>
    </row>
    <row r="10">
      <c r="A10" s="72" t="n"/>
      <c r="B10" s="72" t="n"/>
    </row>
    <row r="11">
      <c r="A11" s="33" t="inlineStr">
        <is>
          <t>Consideration norms</t>
        </is>
      </c>
      <c r="B11" s="82" t="n"/>
    </row>
    <row r="12">
      <c r="A12" s="72" t="n"/>
      <c r="B12" s="72" t="n"/>
    </row>
    <row r="13">
      <c r="A13" s="33" t="inlineStr">
        <is>
          <t>Cont. improvement norms</t>
        </is>
      </c>
      <c r="B13" s="82" t="n"/>
    </row>
    <row r="14">
      <c r="A14" s="72" t="n"/>
      <c r="B14" s="72" t="n"/>
    </row>
    <row r="15">
      <c r="A15" s="33" t="inlineStr">
        <is>
          <t>Rewards</t>
        </is>
      </c>
      <c r="B15" s="82" t="inlineStr">
        <is>
          <t>Online coffee or lunch meet at some point.</t>
        </is>
      </c>
    </row>
    <row r="16">
      <c r="A16" s="72" t="n"/>
      <c r="B16" s="72" t="n"/>
    </row>
    <row r="17">
      <c r="A17" s="33" t="inlineStr">
        <is>
          <t>Sanctions</t>
        </is>
      </c>
      <c r="B17" s="82" t="inlineStr">
        <is>
          <t>Document absence. Repeated absence is addressed with the missing person directly but will later be escalated to professors.</t>
        </is>
      </c>
    </row>
    <row r="18">
      <c r="A18" s="72" t="n"/>
      <c r="B18" s="72" t="n"/>
    </row>
    <row r="19">
      <c r="A19" s="33" t="inlineStr">
        <is>
          <t>Signatures</t>
        </is>
      </c>
      <c r="B19" s="33" t="n"/>
    </row>
    <row r="21">
      <c r="A21" s="35" t="inlineStr">
        <is>
          <t>Scrum Master</t>
        </is>
      </c>
      <c r="B21" s="35" t="inlineStr">
        <is>
          <t>Georgina Goldschmidt</t>
        </is>
      </c>
    </row>
    <row r="22">
      <c r="A22" s="35" t="inlineStr">
        <is>
          <t>Product owner</t>
        </is>
      </c>
      <c r="B22" s="35" t="inlineStr">
        <is>
          <t>Felix Hilgers</t>
        </is>
      </c>
    </row>
    <row r="23">
      <c r="A23" s="35" t="inlineStr">
        <is>
          <t>Product owner</t>
        </is>
      </c>
      <c r="B23" s="35" t="inlineStr">
        <is>
          <t>Benedikt Zinn</t>
        </is>
      </c>
    </row>
    <row r="24">
      <c r="A24" s="35" t="inlineStr">
        <is>
          <t>Software developer</t>
        </is>
      </c>
      <c r="B24" s="35" t="inlineStr">
        <is>
          <t>Sarib Samdani</t>
        </is>
      </c>
    </row>
    <row r="25">
      <c r="A25" s="35" t="inlineStr">
        <is>
          <t>Software developer</t>
        </is>
      </c>
      <c r="B25" s="35" t="inlineStr">
        <is>
          <t>Emil Badura</t>
        </is>
      </c>
    </row>
    <row r="26">
      <c r="A26" s="35" t="inlineStr">
        <is>
          <t>Software developer</t>
        </is>
      </c>
      <c r="B26" s="35" t="inlineStr">
        <is>
          <t>Anuun Chinbat</t>
        </is>
      </c>
    </row>
    <row r="27">
      <c r="A27" s="35" t="inlineStr">
        <is>
          <t>Software developer</t>
        </is>
      </c>
      <c r="B27" s="35" t="inlineStr">
        <is>
          <t>Paul Assenbaum</t>
        </is>
      </c>
    </row>
    <row r="28">
      <c r="A28" s="35" t="inlineStr">
        <is>
          <t>Software developer</t>
        </is>
      </c>
      <c r="B28" s="35" t="inlineStr">
        <is>
          <t>Christoph Mantsch</t>
        </is>
      </c>
    </row>
    <row r="29">
      <c r="A29" s="35" t="inlineStr">
        <is>
          <t>Software developer</t>
        </is>
      </c>
      <c r="B29" s="35" t="inlineStr">
        <is>
          <t>Zohreh Asadi</t>
        </is>
      </c>
    </row>
  </sheetData>
  <printOptions horizontalCentered="1" gridLines="1"/>
  <pageMargins left="0.7" right="0.7" top="0.75" bottom="0.75" header="0" footer="0"/>
  <pageSetup orientation="landscape" paperSize="9" fitToHeight="0" pageOrder="overThenDown" cellComments="atEn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B20"/>
  <sheetViews>
    <sheetView workbookViewId="0">
      <pane ySplit="1" topLeftCell="A2" activePane="bottomLeft" state="frozen"/>
      <selection pane="bottomLeft" activeCell="B3" sqref="B3"/>
    </sheetView>
  </sheetViews>
  <sheetFormatPr baseColWidth="8" defaultColWidth="12.63" defaultRowHeight="12.75" customHeight="1"/>
  <cols>
    <col width="62.63" customWidth="1" style="123" min="1" max="2"/>
  </cols>
  <sheetData>
    <row r="1">
      <c r="A1" s="36" t="inlineStr">
        <is>
          <t>Product Vision</t>
        </is>
      </c>
      <c r="B1" s="36" t="inlineStr">
        <is>
          <t>Project Mission</t>
        </is>
      </c>
    </row>
    <row r="2">
      <c r="A2" s="38" t="n"/>
      <c r="B2" s="38" t="n"/>
    </row>
    <row r="3">
      <c r="A3" s="39" t="inlineStr">
        <is>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is>
      </c>
      <c r="B3" s="39" t="inlineStr">
        <is>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is>
      </c>
    </row>
    <row r="4"/>
    <row r="5"/>
    <row r="6"/>
    <row r="7"/>
    <row r="8"/>
    <row r="9"/>
    <row r="10"/>
    <row r="11"/>
    <row r="12"/>
    <row r="13"/>
    <row r="14"/>
    <row r="15"/>
    <row r="16"/>
    <row r="17"/>
    <row r="18"/>
    <row r="19"/>
    <row r="20"/>
  </sheetData>
  <mergeCells count="2">
    <mergeCell ref="B3:B20"/>
    <mergeCell ref="A3:A20"/>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B20"/>
  <sheetViews>
    <sheetView workbookViewId="0">
      <pane ySplit="1" topLeftCell="A2" activePane="bottomLeft" state="frozen"/>
      <selection pane="bottomLeft" activeCell="B3" sqref="B3"/>
    </sheetView>
  </sheetViews>
  <sheetFormatPr baseColWidth="8" defaultColWidth="12.63" defaultRowHeight="12.75" customHeight="1"/>
  <cols>
    <col width="25.13" customWidth="1" style="123" min="1" max="1"/>
    <col width="100.13" customWidth="1" style="123" min="2" max="2"/>
  </cols>
  <sheetData>
    <row r="1">
      <c r="A1" s="44" t="inlineStr">
        <is>
          <t>Term</t>
        </is>
      </c>
      <c r="B1" s="44" t="inlineStr">
        <is>
          <t>Definition</t>
        </is>
      </c>
    </row>
    <row r="2">
      <c r="A2" s="35" t="n"/>
      <c r="B2" s="35" t="n"/>
    </row>
    <row r="3">
      <c r="A3" s="35" t="n"/>
      <c r="B3" s="35" t="n"/>
    </row>
    <row r="4">
      <c r="A4" s="35" t="n"/>
      <c r="B4" s="35" t="n"/>
    </row>
    <row r="5">
      <c r="A5" s="35" t="n"/>
      <c r="B5" s="35" t="n"/>
    </row>
    <row r="6">
      <c r="A6" s="35" t="n"/>
      <c r="B6" s="35" t="n"/>
    </row>
    <row r="7">
      <c r="A7" s="35" t="n"/>
      <c r="B7" s="35" t="n"/>
    </row>
    <row r="8">
      <c r="A8" s="35" t="n"/>
      <c r="B8" s="35" t="n"/>
    </row>
    <row r="9">
      <c r="A9" s="35" t="n"/>
      <c r="B9" s="35" t="n"/>
    </row>
    <row r="10">
      <c r="A10" s="35" t="n"/>
      <c r="B10" s="35" t="n"/>
    </row>
    <row r="11">
      <c r="A11" s="35" t="n"/>
      <c r="B11" s="35" t="n"/>
    </row>
    <row r="12">
      <c r="A12" s="35" t="n"/>
      <c r="B12" s="35" t="n"/>
    </row>
    <row r="13">
      <c r="A13" s="35" t="n"/>
      <c r="B13" s="35" t="n"/>
    </row>
    <row r="14">
      <c r="A14" s="35" t="n"/>
      <c r="B14" s="35" t="n"/>
    </row>
    <row r="15">
      <c r="A15" s="35" t="n"/>
      <c r="B15" s="35" t="n"/>
    </row>
    <row r="16">
      <c r="A16" s="35" t="n"/>
      <c r="B16" s="35" t="n"/>
    </row>
    <row r="17">
      <c r="A17" s="35" t="n"/>
      <c r="B17" s="35" t="n"/>
    </row>
    <row r="18">
      <c r="A18" s="35" t="n"/>
      <c r="B18" s="35" t="n"/>
    </row>
    <row r="19">
      <c r="A19" s="35" t="n"/>
      <c r="B19" s="35" t="n"/>
    </row>
    <row r="20">
      <c r="A20" s="35" t="n"/>
      <c r="B20" s="35"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B20"/>
  <sheetViews>
    <sheetView workbookViewId="0">
      <pane ySplit="1" topLeftCell="A2" activePane="bottomLeft" state="frozen"/>
      <selection pane="bottomLeft" activeCell="B3" sqref="B3"/>
    </sheetView>
  </sheetViews>
  <sheetFormatPr baseColWidth="8" defaultColWidth="12.63" defaultRowHeight="12.75" customHeight="1"/>
  <cols>
    <col width="12.63" customWidth="1" style="123" min="1" max="1"/>
    <col width="112.63" customWidth="1" style="123" min="2" max="2"/>
  </cols>
  <sheetData>
    <row r="1">
      <c r="A1" s="41" t="inlineStr">
        <is>
          <t>Sprint #</t>
        </is>
      </c>
      <c r="B1" s="44" t="inlineStr">
        <is>
          <t>Sprint goal</t>
        </is>
      </c>
    </row>
    <row r="2">
      <c r="A2" s="43" t="n">
        <v>1</v>
      </c>
      <c r="B2" s="35" t="inlineStr">
        <is>
          <t>Meeting with industry partner and getting things started (and the T-shirt of course)</t>
        </is>
      </c>
    </row>
    <row r="3">
      <c r="A3" s="43">
        <f>A2+1</f>
        <v/>
      </c>
      <c r="B3" s="35" t="inlineStr">
        <is>
          <t>Start work on individual components and research unclear topics</t>
        </is>
      </c>
    </row>
    <row r="4">
      <c r="A4" s="43">
        <f>A3+1</f>
        <v/>
      </c>
      <c r="B4" s="35" t="inlineStr">
        <is>
          <t>Combining components into a first working prototype</t>
        </is>
      </c>
    </row>
    <row r="5">
      <c r="A5" s="43">
        <f>A4+1</f>
        <v/>
      </c>
      <c r="B5" s="35" t="inlineStr">
        <is>
          <t>Refining prototype and splitting out components</t>
        </is>
      </c>
    </row>
    <row r="6">
      <c r="A6" s="43">
        <f>A5+1</f>
        <v/>
      </c>
      <c r="B6" s="35" t="inlineStr">
        <is>
          <t>Finishing the Implementation of the Initial Architecture</t>
        </is>
      </c>
    </row>
    <row r="7">
      <c r="A7" s="43">
        <f>A6+1</f>
        <v/>
      </c>
      <c r="B7" s="35" t="n"/>
    </row>
    <row r="8">
      <c r="A8" s="43">
        <f>A7+1</f>
        <v/>
      </c>
      <c r="B8" s="35" t="n"/>
    </row>
    <row r="9">
      <c r="A9" s="43">
        <f>A8+1</f>
        <v/>
      </c>
      <c r="B9" s="35" t="n"/>
    </row>
    <row r="10">
      <c r="A10" s="43">
        <f>A9+1</f>
        <v/>
      </c>
      <c r="B10" s="35" t="n"/>
    </row>
    <row r="11">
      <c r="A11" s="43">
        <f>A10+1</f>
        <v/>
      </c>
      <c r="B11" s="35" t="n"/>
    </row>
    <row r="12">
      <c r="A12" s="43">
        <f>A11+1</f>
        <v/>
      </c>
      <c r="B12" s="35" t="n"/>
    </row>
    <row r="13">
      <c r="A13" s="43">
        <f>A12+1</f>
        <v/>
      </c>
      <c r="B13" s="35" t="n"/>
    </row>
    <row r="14">
      <c r="A14" s="43">
        <f>A13+1</f>
        <v/>
      </c>
      <c r="B14" s="35" t="n"/>
    </row>
    <row r="15">
      <c r="A15" s="43">
        <f>A14+1</f>
        <v/>
      </c>
      <c r="B15" s="35" t="n"/>
    </row>
    <row r="16">
      <c r="A16" s="43">
        <f>A15+1</f>
        <v/>
      </c>
      <c r="B16" s="35" t="n"/>
    </row>
    <row r="17">
      <c r="A17" s="43" t="n"/>
      <c r="B17" s="35" t="n"/>
    </row>
    <row r="18">
      <c r="A18" s="43" t="n"/>
      <c r="B18" s="35" t="n"/>
    </row>
    <row r="19">
      <c r="A19" s="43" t="n"/>
      <c r="B19" s="35" t="n"/>
    </row>
    <row r="20">
      <c r="A20" s="43" t="n"/>
      <c r="B20" s="35" t="n"/>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B20"/>
  <sheetViews>
    <sheetView workbookViewId="0">
      <pane ySplit="1" topLeftCell="A2" activePane="bottomLeft" state="frozen"/>
      <selection pane="bottomLeft" activeCell="B3" sqref="B3"/>
    </sheetView>
  </sheetViews>
  <sheetFormatPr baseColWidth="8" defaultColWidth="12.63" defaultRowHeight="12.75" customHeight="1"/>
  <cols>
    <col width="12.63" customWidth="1" style="123" min="1" max="1"/>
    <col width="112.63" customWidth="1" style="123" min="2" max="2"/>
  </cols>
  <sheetData>
    <row r="1">
      <c r="A1" s="41" t="inlineStr">
        <is>
          <t>Sprint #</t>
        </is>
      </c>
      <c r="B1" s="44" t="inlineStr">
        <is>
          <t>Story Points Realized</t>
        </is>
      </c>
    </row>
    <row r="2">
      <c r="A2" s="43" t="n">
        <v>1</v>
      </c>
      <c r="B2" s="35" t="n">
        <v>0</v>
      </c>
    </row>
    <row r="3">
      <c r="A3" s="43">
        <f>A2+1</f>
        <v/>
      </c>
      <c r="B3" s="35">
        <f>SUM('Mid-Project Release plan'!B21:F24)</f>
        <v/>
      </c>
    </row>
    <row r="4">
      <c r="A4" s="43">
        <f>A3+1</f>
        <v/>
      </c>
      <c r="B4" s="35">
        <f>SUM('Mid-Project Release plan'!B26:F32)</f>
        <v/>
      </c>
    </row>
    <row r="5">
      <c r="A5" s="43">
        <f>A4+1</f>
        <v/>
      </c>
      <c r="B5" s="35">
        <f>SUM('Mid-Project Release plan'!B34:F36)</f>
        <v/>
      </c>
    </row>
    <row r="6">
      <c r="A6" s="43">
        <f>A5+1</f>
        <v/>
      </c>
      <c r="B6" s="35" t="n"/>
    </row>
    <row r="7">
      <c r="A7" s="43">
        <f>A6+1</f>
        <v/>
      </c>
      <c r="B7" s="35" t="n"/>
    </row>
    <row r="8">
      <c r="A8" s="43">
        <f>A7+1</f>
        <v/>
      </c>
      <c r="B8" s="35" t="n"/>
    </row>
    <row r="9">
      <c r="A9" s="43">
        <f>A8+1</f>
        <v/>
      </c>
      <c r="B9" s="35" t="n"/>
    </row>
    <row r="10">
      <c r="A10" s="43">
        <f>A9+1</f>
        <v/>
      </c>
      <c r="B10" s="35" t="n"/>
    </row>
    <row r="11">
      <c r="A11" s="43">
        <f>A10+1</f>
        <v/>
      </c>
      <c r="B11" s="35" t="n"/>
    </row>
    <row r="12">
      <c r="A12" s="43">
        <f>A11+1</f>
        <v/>
      </c>
      <c r="B12" s="35" t="n"/>
    </row>
    <row r="13">
      <c r="A13" s="43">
        <f>A12+1</f>
        <v/>
      </c>
      <c r="B13" s="35" t="n"/>
    </row>
    <row r="14">
      <c r="A14" s="43">
        <f>A13+1</f>
        <v/>
      </c>
      <c r="B14" s="35" t="n"/>
    </row>
    <row r="15">
      <c r="A15" s="43">
        <f>A14+1</f>
        <v/>
      </c>
      <c r="B15" s="35" t="n"/>
    </row>
    <row r="16">
      <c r="A16" s="43">
        <f>A15+1</f>
        <v/>
      </c>
      <c r="B16" s="35" t="n"/>
    </row>
    <row r="17">
      <c r="A17" s="43" t="n"/>
      <c r="B17" s="35" t="n"/>
    </row>
    <row r="18">
      <c r="A18" s="43" t="n"/>
      <c r="B18" s="44" t="n"/>
    </row>
    <row r="19">
      <c r="A19" s="43" t="n"/>
      <c r="B19" s="35" t="n"/>
    </row>
    <row r="20">
      <c r="A20" s="43" t="n"/>
      <c r="B20" s="35" t="n"/>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A20"/>
  <sheetViews>
    <sheetView workbookViewId="0">
      <selection activeCell="A1" sqref="A1"/>
    </sheetView>
  </sheetViews>
  <sheetFormatPr baseColWidth="8" defaultColWidth="12.63" defaultRowHeight="12.75" customHeight="1"/>
  <cols>
    <col width="136.38" customWidth="1" style="123" min="1" max="1"/>
  </cols>
  <sheetData>
    <row r="1">
      <c r="A1" s="44" t="inlineStr">
        <is>
          <t>Average</t>
        </is>
      </c>
    </row>
    <row r="2">
      <c r="A2" s="35">
        <f>AVERAGE('Velocity Tracking'!B$2:B$16)</f>
        <v/>
      </c>
    </row>
    <row r="3">
      <c r="A3" s="35">
        <f>AVERAGE('Velocity Tracking'!B$2:B$16)</f>
        <v/>
      </c>
    </row>
    <row r="4">
      <c r="A4" s="35">
        <f>AVERAGE('Velocity Tracking'!B$2:B$16)</f>
        <v/>
      </c>
    </row>
    <row r="5">
      <c r="A5" s="35">
        <f>AVERAGE('Velocity Tracking'!B$2:B$16)</f>
        <v/>
      </c>
    </row>
    <row r="6">
      <c r="A6" s="35">
        <f>AVERAGE('Velocity Tracking'!B$2:B$16)</f>
        <v/>
      </c>
    </row>
    <row r="7">
      <c r="A7" s="35">
        <f>AVERAGE('Velocity Tracking'!B$2:B$16)</f>
        <v/>
      </c>
    </row>
    <row r="8">
      <c r="A8" s="35">
        <f>AVERAGE('Velocity Tracking'!B$2:B$16)</f>
        <v/>
      </c>
    </row>
    <row r="9">
      <c r="A9" s="35">
        <f>AVERAGE('Velocity Tracking'!B$2:B$16)</f>
        <v/>
      </c>
    </row>
    <row r="10">
      <c r="A10" s="35">
        <f>AVERAGE('Velocity Tracking'!B$2:B$16)</f>
        <v/>
      </c>
    </row>
    <row r="11">
      <c r="A11" s="35">
        <f>AVERAGE('Velocity Tracking'!B$2:B$16)</f>
        <v/>
      </c>
    </row>
    <row r="12">
      <c r="A12" s="35">
        <f>AVERAGE('Velocity Tracking'!B$2:B$16)</f>
        <v/>
      </c>
    </row>
    <row r="13">
      <c r="A13" s="35">
        <f>AVERAGE('Velocity Tracking'!B$2:B$16)</f>
        <v/>
      </c>
    </row>
    <row r="14">
      <c r="A14" s="35">
        <f>AVERAGE('Velocity Tracking'!B$2:B$16)</f>
        <v/>
      </c>
    </row>
    <row r="15">
      <c r="A15" s="35">
        <f>AVERAGE('Velocity Tracking'!B$2:B$16)</f>
        <v/>
      </c>
    </row>
    <row r="16">
      <c r="A16" s="35">
        <f>AVERAGE('Velocity Tracking'!B$2:B$16)</f>
        <v/>
      </c>
    </row>
    <row r="17">
      <c r="A17" s="35" t="n"/>
    </row>
    <row r="18">
      <c r="A18" s="45" t="n"/>
    </row>
    <row r="19">
      <c r="A19" s="35" t="n"/>
    </row>
    <row r="20">
      <c r="A20" s="35" t="n"/>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0" summaryRight="0"/>
    <pageSetUpPr/>
  </sheetPr>
  <dimension ref="A1:G52"/>
  <sheetViews>
    <sheetView workbookViewId="0">
      <pane ySplit="1" topLeftCell="A2" activePane="bottomLeft" state="frozen"/>
      <selection pane="bottomLeft" activeCell="B3" sqref="B3"/>
    </sheetView>
  </sheetViews>
  <sheetFormatPr baseColWidth="8" defaultColWidth="12.63" defaultRowHeight="12.75" customHeight="1"/>
  <cols>
    <col width="6.38" customWidth="1" style="123" min="1" max="1"/>
    <col width="69.38" customWidth="1" style="123" min="2" max="2"/>
    <col width="62.63" customWidth="1" style="123" min="3" max="3"/>
    <col width="15.75" customWidth="1" style="123" min="4" max="7"/>
  </cols>
  <sheetData>
    <row r="1">
      <c r="A1" s="46" t="inlineStr">
        <is>
          <t>Sprint</t>
        </is>
      </c>
      <c r="B1" s="86" t="inlineStr">
        <is>
          <t>Goal</t>
        </is>
      </c>
      <c r="C1" s="86" t="inlineStr">
        <is>
          <t>Feature Name</t>
        </is>
      </c>
      <c r="D1" s="49" t="inlineStr">
        <is>
          <t>Est. size</t>
        </is>
      </c>
      <c r="E1" s="49" t="inlineStr">
        <is>
          <t>Est. remaining</t>
        </is>
      </c>
      <c r="F1" s="49" t="inlineStr">
        <is>
          <t>Real size</t>
        </is>
      </c>
      <c r="G1" s="49" t="inlineStr">
        <is>
          <t>Real remaining</t>
        </is>
      </c>
    </row>
    <row r="2">
      <c r="A2" s="79" t="n"/>
      <c r="B2" s="75" t="n"/>
      <c r="C2" s="82" t="n"/>
      <c r="D2" s="82" t="n"/>
      <c r="E2" s="82" t="n"/>
      <c r="F2" s="82" t="n"/>
      <c r="G2" s="82" t="n"/>
    </row>
    <row r="3">
      <c r="A3" s="52" t="inlineStr">
        <is>
          <t>Release</t>
        </is>
      </c>
      <c r="B3" s="53" t="n"/>
      <c r="C3" s="54" t="n"/>
      <c r="D3" s="54" t="n"/>
      <c r="E3" s="54" t="n"/>
      <c r="F3" s="54" t="n"/>
      <c r="G3" s="54" t="n"/>
    </row>
    <row r="4">
      <c r="A4" s="79" t="n"/>
      <c r="B4" s="75" t="n"/>
      <c r="C4" s="82" t="n"/>
      <c r="D4" s="82" t="n"/>
      <c r="E4" s="82" t="n"/>
      <c r="F4" s="82" t="n"/>
      <c r="G4" s="82" t="n"/>
    </row>
    <row r="5">
      <c r="A5" s="63" t="inlineStr">
        <is>
          <t>Total</t>
        </is>
      </c>
      <c r="B5" s="78" t="n"/>
      <c r="C5" s="72" t="n"/>
      <c r="D5" s="77">
        <f>sum(D8:D16)</f>
        <v/>
      </c>
      <c r="E5" s="77">
        <f>D5</f>
        <v/>
      </c>
      <c r="F5" s="72" t="n"/>
      <c r="G5" s="72" t="n"/>
    </row>
    <row r="6">
      <c r="A6" s="79" t="n"/>
      <c r="B6" s="75" t="n"/>
      <c r="C6" s="82" t="n"/>
      <c r="D6" s="82" t="n"/>
      <c r="E6" s="82" t="n"/>
      <c r="F6" s="82" t="n"/>
      <c r="G6" s="82" t="n"/>
    </row>
    <row r="7">
      <c r="A7" s="58" t="inlineStr">
        <is>
          <t>Sprints</t>
        </is>
      </c>
      <c r="B7" s="81" t="n"/>
      <c r="C7" s="60" t="n"/>
      <c r="D7" s="60" t="n"/>
      <c r="E7" s="60" t="n"/>
      <c r="F7" s="60" t="n"/>
      <c r="G7" s="60" t="n"/>
    </row>
    <row r="8">
      <c r="A8" s="79" t="n"/>
      <c r="B8" s="75" t="n"/>
      <c r="C8" s="82" t="n"/>
      <c r="D8" s="82" t="n"/>
      <c r="E8" s="61" t="inlineStr">
        <is>
          <t>Estimated burn-down</t>
        </is>
      </c>
      <c r="F8" s="82" t="n"/>
      <c r="G8" s="61" t="inlineStr">
        <is>
          <t>Real burn-down</t>
        </is>
      </c>
    </row>
    <row r="9">
      <c r="A9" s="62">
        <f>ROW()-8</f>
        <v/>
      </c>
      <c r="B9" s="63">
        <f>'Sprint Goals'!B2</f>
        <v/>
      </c>
      <c r="C9" s="72" t="n"/>
      <c r="D9" s="77">
        <f>sum(D19)</f>
        <v/>
      </c>
      <c r="E9" s="77">
        <f>$D$5</f>
        <v/>
      </c>
      <c r="F9" s="77">
        <f>sum(F19)</f>
        <v/>
      </c>
      <c r="G9" s="77">
        <f>$D$5</f>
        <v/>
      </c>
    </row>
    <row r="10">
      <c r="A10" s="62">
        <f>ROW()-8</f>
        <v/>
      </c>
      <c r="B10" s="64">
        <f>'Sprint Goals'!B3</f>
        <v/>
      </c>
      <c r="C10" s="82" t="n"/>
      <c r="D10" s="83">
        <f>sum(D20:D24)</f>
        <v/>
      </c>
      <c r="E10" s="83">
        <f>E9-D9</f>
        <v/>
      </c>
      <c r="F10" s="83">
        <f>sum(F21:F24)</f>
        <v/>
      </c>
      <c r="G10" s="83">
        <f>G9-F9</f>
        <v/>
      </c>
    </row>
    <row r="11">
      <c r="A11" s="62">
        <f>ROW()-8</f>
        <v/>
      </c>
      <c r="B11" s="63">
        <f>'Sprint Goals'!B4</f>
        <v/>
      </c>
      <c r="C11" s="72" t="n"/>
      <c r="D11" s="77">
        <f>sum(D25:D32)</f>
        <v/>
      </c>
      <c r="E11" s="77">
        <f>E10-D10</f>
        <v/>
      </c>
      <c r="F11" s="77">
        <f>sum(F25:F32)</f>
        <v/>
      </c>
      <c r="G11" s="77">
        <f>G10-F10</f>
        <v/>
      </c>
    </row>
    <row r="12">
      <c r="A12" s="62">
        <f>ROW()-8</f>
        <v/>
      </c>
      <c r="B12" s="64">
        <f>'Sprint Goals'!B5</f>
        <v/>
      </c>
      <c r="C12" s="82" t="n"/>
      <c r="D12" s="82">
        <f>sum(D33:D36)</f>
        <v/>
      </c>
      <c r="E12" s="83">
        <f>E11-D11</f>
        <v/>
      </c>
      <c r="F12" s="82">
        <f>sum(F33:F36)</f>
        <v/>
      </c>
      <c r="G12" s="83">
        <f>G11-F11</f>
        <v/>
      </c>
    </row>
    <row r="13">
      <c r="A13" s="62">
        <f>ROW()-8</f>
        <v/>
      </c>
      <c r="B13" s="63">
        <f>'Sprint Goals'!B6</f>
        <v/>
      </c>
      <c r="C13" s="72" t="n"/>
      <c r="D13" s="72">
        <f>Sum(D37:D50)</f>
        <v/>
      </c>
      <c r="E13" s="83">
        <f>E12-D12</f>
        <v/>
      </c>
      <c r="F13" s="72">
        <f>sum(F37:F50)</f>
        <v/>
      </c>
      <c r="G13" s="83">
        <f>G12-F12</f>
        <v/>
      </c>
    </row>
    <row r="14">
      <c r="A14" s="62">
        <f>ROW()-8</f>
        <v/>
      </c>
      <c r="B14" s="64">
        <f>'Sprint Goals'!B7</f>
        <v/>
      </c>
      <c r="C14" s="72" t="n"/>
      <c r="D14" s="72" t="n"/>
      <c r="E14" s="72" t="n"/>
      <c r="F14" s="72" t="n"/>
      <c r="G14" s="72" t="n"/>
    </row>
    <row r="15">
      <c r="A15" s="62" t="n"/>
      <c r="B15" s="63" t="n"/>
      <c r="C15" s="72" t="n"/>
      <c r="D15" s="72" t="n"/>
      <c r="E15" s="72" t="n"/>
      <c r="F15" s="72" t="n"/>
      <c r="G15" s="72" t="n"/>
    </row>
    <row r="16">
      <c r="A16" s="62" t="n"/>
      <c r="B16" s="63" t="n"/>
      <c r="C16" s="72" t="n"/>
      <c r="D16" s="72" t="n"/>
      <c r="E16" s="72" t="n"/>
      <c r="F16" s="72" t="n"/>
      <c r="G16" s="72" t="n"/>
    </row>
    <row r="17">
      <c r="A17" s="66" t="inlineStr">
        <is>
          <t>Features</t>
        </is>
      </c>
      <c r="B17" s="67" t="n"/>
      <c r="C17" s="68" t="n"/>
      <c r="D17" s="68" t="n"/>
      <c r="E17" s="68" t="n"/>
      <c r="F17" s="68" t="n"/>
      <c r="G17" s="68" t="n"/>
    </row>
    <row r="18">
      <c r="A18" s="62" t="n"/>
      <c r="B18" s="63" t="n"/>
      <c r="C18" s="72" t="n"/>
      <c r="D18" s="72" t="n"/>
      <c r="E18" s="72" t="n"/>
      <c r="F18" s="72" t="n"/>
      <c r="G18" s="72" t="n"/>
    </row>
    <row r="19">
      <c r="A19" s="69">
        <f>A9</f>
        <v/>
      </c>
      <c r="B19" s="70">
        <f>B9</f>
        <v/>
      </c>
      <c r="C19" s="82" t="n"/>
      <c r="D19" s="82" t="n"/>
      <c r="E19" s="82" t="n"/>
      <c r="F19" s="82" t="n"/>
      <c r="G19" s="82" t="n"/>
    </row>
    <row r="20">
      <c r="A20" s="69">
        <f>A10</f>
        <v/>
      </c>
      <c r="B20" s="70">
        <f>B10</f>
        <v/>
      </c>
      <c r="C20" s="82" t="n"/>
      <c r="D20" s="82" t="n"/>
      <c r="E20" s="82" t="n"/>
      <c r="F20" s="82" t="n"/>
      <c r="G20" s="82" t="n"/>
    </row>
    <row r="21">
      <c r="A21" s="62" t="n"/>
      <c r="B21" s="71" t="n"/>
      <c r="C21" s="72" t="inlineStr">
        <is>
          <t>Setup Architecture</t>
        </is>
      </c>
      <c r="D21" s="72" t="n">
        <v>5</v>
      </c>
      <c r="E21" s="72" t="n"/>
      <c r="F21" s="72" t="n">
        <v>5</v>
      </c>
      <c r="G21" s="72" t="n"/>
    </row>
    <row r="22">
      <c r="A22" s="79" t="n"/>
      <c r="B22" s="75" t="n"/>
      <c r="C22" s="75" t="inlineStr">
        <is>
          <t>Serve Webcam as WebRTC stream</t>
        </is>
      </c>
      <c r="D22" s="83" t="n">
        <v>5</v>
      </c>
      <c r="E22" s="75" t="n"/>
      <c r="F22" s="83" t="n">
        <v>5</v>
      </c>
      <c r="G22" s="75" t="n"/>
    </row>
    <row r="23">
      <c r="A23" s="62" t="n"/>
      <c r="B23" s="71" t="n"/>
      <c r="C23" s="72" t="inlineStr">
        <is>
          <t>Setup Initial CI Pipeline</t>
        </is>
      </c>
      <c r="D23" s="77" t="n">
        <v>3</v>
      </c>
      <c r="E23" s="72" t="n"/>
      <c r="F23" s="77" t="n">
        <v>3</v>
      </c>
      <c r="G23" s="72" t="n"/>
    </row>
    <row r="24">
      <c r="A24" s="79" t="n"/>
      <c r="B24" s="75" t="n"/>
      <c r="C24" s="75" t="inlineStr">
        <is>
          <t>Discuss Team Distribution Preferences</t>
        </is>
      </c>
      <c r="D24" s="83" t="n">
        <v>3</v>
      </c>
      <c r="E24" s="75" t="n"/>
      <c r="F24" s="83" t="n">
        <v>1</v>
      </c>
      <c r="G24" s="75" t="n"/>
    </row>
    <row r="25">
      <c r="A25" s="69">
        <f>A11</f>
        <v/>
      </c>
      <c r="B25" s="70">
        <f>B11</f>
        <v/>
      </c>
      <c r="C25" s="82" t="n"/>
      <c r="D25" s="82" t="n"/>
      <c r="E25" s="82" t="n"/>
      <c r="F25" s="82" t="n"/>
      <c r="G25" s="82" t="n"/>
    </row>
    <row r="26">
      <c r="A26" s="62" t="n"/>
      <c r="B26" s="71" t="n"/>
      <c r="C26" s="72" t="inlineStr">
        <is>
          <t>Keep BOM up to date</t>
        </is>
      </c>
      <c r="D26" s="72" t="n">
        <v>2</v>
      </c>
      <c r="E26" s="72" t="n"/>
      <c r="F26" s="72" t="n">
        <v>2</v>
      </c>
      <c r="G26" s="72" t="n"/>
    </row>
    <row r="27">
      <c r="A27" s="79" t="n"/>
      <c r="B27" s="75" t="n"/>
      <c r="C27" s="75" t="inlineStr">
        <is>
          <t>Setup REUSE licensing</t>
        </is>
      </c>
      <c r="D27" s="83" t="n">
        <v>2</v>
      </c>
      <c r="E27" s="75" t="n"/>
      <c r="F27" s="75" t="n">
        <v>3</v>
      </c>
      <c r="G27" s="75" t="n"/>
    </row>
    <row r="28">
      <c r="A28" s="62" t="n"/>
      <c r="B28" s="71" t="n"/>
      <c r="C28" s="72" t="inlineStr">
        <is>
          <t>Update Architecture document</t>
        </is>
      </c>
      <c r="D28" s="77" t="n">
        <v>2</v>
      </c>
      <c r="E28" s="72" t="n"/>
      <c r="F28" s="72" t="n">
        <v>2</v>
      </c>
      <c r="G28" s="72" t="n"/>
    </row>
    <row r="29">
      <c r="A29" s="79" t="n"/>
      <c r="B29" s="75" t="n"/>
      <c r="C29" s="82" t="inlineStr">
        <is>
          <t>Create Object Detection Example</t>
        </is>
      </c>
      <c r="D29" s="83" t="n">
        <v>3</v>
      </c>
      <c r="E29" s="75" t="n"/>
      <c r="F29" s="75" t="n">
        <v>3</v>
      </c>
      <c r="G29" s="75" t="n"/>
    </row>
    <row r="30">
      <c r="A30" s="62" t="n"/>
      <c r="B30" s="71" t="n"/>
      <c r="C30" s="78" t="inlineStr">
        <is>
          <t>Prepare Build Process Review</t>
        </is>
      </c>
      <c r="D30" s="77" t="n">
        <v>2</v>
      </c>
      <c r="E30" s="72" t="n"/>
      <c r="F30" s="72" t="n">
        <v>2</v>
      </c>
      <c r="G30" s="72" t="n"/>
    </row>
    <row r="31">
      <c r="A31" s="79" t="n"/>
      <c r="B31" s="75" t="n"/>
      <c r="C31" s="82" t="inlineStr">
        <is>
          <t>Prepare Depth Estimation</t>
        </is>
      </c>
      <c r="D31" s="82" t="n">
        <v>5</v>
      </c>
      <c r="E31" s="82" t="n"/>
      <c r="F31" s="82" t="n">
        <v>5</v>
      </c>
      <c r="G31" s="82" t="n"/>
    </row>
    <row r="32">
      <c r="A32" s="79" t="n"/>
      <c r="B32" s="75" t="n"/>
      <c r="C32" s="82" t="inlineStr">
        <is>
          <t>Research Object and Depth Estimation</t>
        </is>
      </c>
      <c r="D32" s="82" t="n">
        <v>5</v>
      </c>
      <c r="E32" s="82" t="n"/>
      <c r="F32" s="82" t="n">
        <v>5</v>
      </c>
      <c r="G32" s="82" t="n"/>
    </row>
    <row r="33">
      <c r="A33" s="79">
        <f>A12</f>
        <v/>
      </c>
      <c r="B33" s="70">
        <f>B12</f>
        <v/>
      </c>
      <c r="C33" s="82" t="n"/>
      <c r="D33" s="82" t="n"/>
      <c r="E33" s="82" t="n"/>
      <c r="F33" s="82" t="n"/>
      <c r="G33" s="82" t="n"/>
    </row>
    <row r="34">
      <c r="A34" s="79" t="n"/>
      <c r="B34" s="75" t="n"/>
      <c r="C34" s="82" t="inlineStr">
        <is>
          <t>Metadata Transport</t>
        </is>
      </c>
      <c r="D34" s="82" t="n">
        <v>5</v>
      </c>
      <c r="E34" s="82" t="n"/>
      <c r="F34" s="82" t="n">
        <v>3</v>
      </c>
      <c r="G34" s="82" t="n"/>
    </row>
    <row r="35">
      <c r="A35" s="79" t="n"/>
      <c r="B35" s="75" t="n"/>
      <c r="C35" s="82" t="inlineStr">
        <is>
          <t>Split Backend Responsibilities</t>
        </is>
      </c>
      <c r="D35" s="82" t="n">
        <v>3</v>
      </c>
      <c r="E35" s="82" t="n"/>
      <c r="F35" s="82" t="n">
        <v>3</v>
      </c>
      <c r="G35" s="82" t="n"/>
    </row>
    <row r="36">
      <c r="A36" s="79" t="n"/>
      <c r="B36" s="75" t="n"/>
      <c r="C36" s="82" t="inlineStr">
        <is>
          <t>Improve Code Quality</t>
        </is>
      </c>
      <c r="D36" s="82" t="n">
        <v>5</v>
      </c>
      <c r="E36" s="82" t="n"/>
      <c r="F36" s="82" t="n">
        <v>5</v>
      </c>
      <c r="G36" s="82" t="n"/>
    </row>
    <row r="37">
      <c r="A37" s="79">
        <f>A13</f>
        <v/>
      </c>
      <c r="B37" s="70">
        <f>B13</f>
        <v/>
      </c>
      <c r="C37" s="82" t="n"/>
      <c r="D37" s="82" t="n"/>
      <c r="E37" s="82" t="n"/>
      <c r="F37" s="82" t="n"/>
      <c r="G37" s="82" t="n"/>
    </row>
    <row r="38">
      <c r="A38" s="79" t="n"/>
      <c r="B38" s="75" t="n"/>
      <c r="C38" s="82" t="inlineStr">
        <is>
          <t>Remove Redundant Calculations</t>
        </is>
      </c>
      <c r="D38" s="82" t="n">
        <v>3</v>
      </c>
      <c r="E38" s="82" t="n"/>
      <c r="F38" s="82" t="n"/>
      <c r="G38" s="82" t="n"/>
    </row>
    <row r="39">
      <c r="A39" s="79" t="n"/>
      <c r="B39" s="75" t="n"/>
      <c r="C39" s="82" t="inlineStr">
        <is>
          <t>Automate SBOM Generation</t>
        </is>
      </c>
      <c r="D39" s="82" t="n">
        <v>3</v>
      </c>
      <c r="E39" s="82" t="n"/>
      <c r="F39" s="82" t="n"/>
      <c r="G39" s="82" t="n"/>
    </row>
    <row r="40">
      <c r="A40" s="79" t="n"/>
      <c r="B40" s="75" t="n"/>
      <c r="C40" s="82" t="inlineStr">
        <is>
          <t>Utilize Library for detecting Object dimensions</t>
        </is>
      </c>
      <c r="D40" s="82" t="n">
        <v>5</v>
      </c>
      <c r="E40" s="82" t="n"/>
      <c r="F40" s="82" t="n"/>
      <c r="G40" s="82" t="n"/>
    </row>
    <row r="41">
      <c r="A41" s="79" t="n"/>
      <c r="B41" s="75" t="n"/>
      <c r="C41" s="82" t="inlineStr">
        <is>
          <t>Create a React Video Component</t>
        </is>
      </c>
      <c r="D41" s="82" t="n">
        <v>3</v>
      </c>
      <c r="E41" s="82" t="n"/>
      <c r="F41" s="82" t="n"/>
      <c r="G41" s="82" t="n"/>
    </row>
    <row r="42">
      <c r="A42" s="79" t="n"/>
      <c r="B42" s="75" t="n"/>
      <c r="C42" s="82" t="inlineStr">
        <is>
          <t>Investigate and Fix startup TIme</t>
        </is>
      </c>
      <c r="D42" s="82" t="n">
        <v>5</v>
      </c>
      <c r="E42" s="82" t="n"/>
      <c r="F42" s="82" t="n"/>
      <c r="G42" s="82" t="n"/>
    </row>
    <row r="43">
      <c r="A43" s="79" t="n"/>
      <c r="B43" s="75" t="n"/>
      <c r="C43" s="82" t="inlineStr">
        <is>
          <t>Fix Windows Development setup</t>
        </is>
      </c>
      <c r="D43" s="82" t="n">
        <v>3</v>
      </c>
      <c r="E43" s="82" t="n"/>
      <c r="F43" s="82" t="n"/>
      <c r="G43" s="82" t="n"/>
    </row>
    <row r="44">
      <c r="A44" s="79" t="n"/>
      <c r="B44" s="75" t="n"/>
      <c r="C44" s="82" t="inlineStr">
        <is>
          <t>Create a React Video Overlay</t>
        </is>
      </c>
      <c r="D44" s="82" t="n">
        <v>3</v>
      </c>
      <c r="E44" s="82" t="n"/>
      <c r="F44" s="82" t="n"/>
      <c r="G44" s="82" t="n"/>
    </row>
    <row r="45">
      <c r="A45" s="79" t="n"/>
      <c r="B45" s="75" t="n"/>
      <c r="C45" s="82" t="inlineStr">
        <is>
          <t>Build Process Video</t>
        </is>
      </c>
      <c r="D45" s="82" t="n">
        <v>1</v>
      </c>
      <c r="E45" s="82" t="n"/>
      <c r="F45" s="82" t="n"/>
      <c r="G45" s="82" t="n"/>
    </row>
    <row r="46">
      <c r="A46" s="79" t="n"/>
      <c r="B46" s="75" t="n"/>
      <c r="C46" s="82" t="inlineStr">
        <is>
          <t>Setup Docker Compose</t>
        </is>
      </c>
      <c r="D46" s="82" t="n">
        <v>3</v>
      </c>
      <c r="E46" s="82" t="n"/>
      <c r="F46" s="82" t="n"/>
      <c r="G46" s="82" t="n"/>
    </row>
    <row r="47">
      <c r="A47" s="79" t="n"/>
      <c r="B47" s="75" t="n"/>
      <c r="C47" s="82" t="inlineStr">
        <is>
          <t>Update Container Images</t>
        </is>
      </c>
      <c r="D47" s="82" t="n">
        <v>2</v>
      </c>
      <c r="E47" s="82" t="n"/>
      <c r="F47" s="82" t="n"/>
      <c r="G47" s="82" t="n"/>
    </row>
    <row r="48">
      <c r="A48" s="79" t="n"/>
      <c r="B48" s="75" t="n"/>
      <c r="C48" s="82" t="inlineStr">
        <is>
          <t>Use Metadata in the Frontend for Drawing the Overlay</t>
        </is>
      </c>
      <c r="D48" s="82" t="n">
        <v>5</v>
      </c>
      <c r="E48" s="82" t="n"/>
      <c r="F48" s="82" t="n"/>
      <c r="G48" s="82" t="n"/>
    </row>
    <row r="49">
      <c r="A49" s="79" t="n"/>
      <c r="B49" s="75" t="n"/>
      <c r="C49" s="82" t="inlineStr">
        <is>
          <t>Create Initial Video Router / Dispatching Service</t>
        </is>
      </c>
      <c r="D49" s="82" t="n">
        <v>8</v>
      </c>
      <c r="E49" s="82" t="n"/>
      <c r="F49" s="82" t="n"/>
      <c r="G49" s="82" t="n"/>
    </row>
    <row r="50">
      <c r="A50" s="79" t="n"/>
      <c r="B50" s="75" t="n"/>
      <c r="C50" s="82" t="inlineStr">
        <is>
          <t>Separate Model Downloading from Running</t>
        </is>
      </c>
      <c r="D50" s="82" t="n">
        <v>3</v>
      </c>
      <c r="E50" s="82" t="n"/>
      <c r="F50" s="82" t="n"/>
      <c r="G50" s="82" t="n"/>
    </row>
    <row r="51">
      <c r="A51" s="79" t="n"/>
      <c r="B51" s="75" t="n"/>
      <c r="C51" s="82" t="n"/>
      <c r="D51" s="82" t="n"/>
      <c r="E51" s="82" t="n"/>
      <c r="F51" s="82" t="n"/>
      <c r="G51" s="82" t="n"/>
    </row>
    <row r="52">
      <c r="A52" s="79" t="n"/>
      <c r="B52" s="75" t="n"/>
      <c r="C52" s="82" t="n"/>
      <c r="D52" s="82" t="n"/>
      <c r="E52" s="82" t="n"/>
      <c r="F52" s="82" t="n"/>
      <c r="G52" s="82" t="n"/>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0" summaryRight="0"/>
    <pageSetUpPr/>
  </sheetPr>
  <dimension ref="A1:A36"/>
  <sheetViews>
    <sheetView workbookViewId="0">
      <selection activeCell="A1" sqref="A1"/>
    </sheetView>
  </sheetViews>
  <sheetFormatPr baseColWidth="8" defaultColWidth="12.63" defaultRowHeight="12.75" customHeight="1"/>
  <cols>
    <col width="124.88" customWidth="1" style="123" min="1" max="1"/>
  </cols>
  <sheetData>
    <row r="1">
      <c r="A1" s="79" t="n"/>
    </row>
    <row r="2">
      <c r="A2" s="79" t="n"/>
    </row>
    <row r="3">
      <c r="A3" s="79" t="n"/>
    </row>
    <row r="4">
      <c r="A4" s="79" t="n"/>
    </row>
    <row r="5">
      <c r="A5" s="79" t="n"/>
    </row>
    <row r="6">
      <c r="A6" s="79" t="n"/>
    </row>
    <row r="7">
      <c r="A7" s="79" t="n"/>
    </row>
    <row r="8">
      <c r="A8" s="79" t="n"/>
    </row>
    <row r="9">
      <c r="A9" s="79" t="n"/>
    </row>
    <row r="10">
      <c r="A10" s="79" t="n"/>
    </row>
    <row r="11">
      <c r="A11" s="79" t="n"/>
    </row>
    <row r="12">
      <c r="A12" s="79" t="n"/>
    </row>
    <row r="13">
      <c r="A13" s="79" t="n"/>
    </row>
    <row r="14">
      <c r="A14" s="79" t="n"/>
    </row>
    <row r="15">
      <c r="A15" s="79" t="n"/>
    </row>
    <row r="16">
      <c r="A16" s="79" t="n"/>
    </row>
    <row r="17">
      <c r="A17" s="79" t="n"/>
    </row>
    <row r="18">
      <c r="A18" s="79" t="n"/>
    </row>
    <row r="19">
      <c r="A19" s="79" t="n"/>
    </row>
    <row r="20">
      <c r="A20" s="79" t="n"/>
    </row>
    <row r="21">
      <c r="A21" s="79" t="n"/>
    </row>
    <row r="22">
      <c r="A22" s="79" t="n"/>
    </row>
    <row r="23">
      <c r="A23" s="79" t="n"/>
    </row>
    <row r="24">
      <c r="A24" s="79" t="n"/>
    </row>
    <row r="25">
      <c r="A25" s="79" t="n"/>
    </row>
    <row r="26">
      <c r="A26" s="79" t="n"/>
    </row>
    <row r="27">
      <c r="A27" s="79" t="n"/>
    </row>
    <row r="28">
      <c r="A28" s="79" t="n"/>
    </row>
    <row r="29">
      <c r="A29" s="79" t="n"/>
    </row>
    <row r="30">
      <c r="A30" s="79" t="n"/>
    </row>
    <row r="31">
      <c r="A31" s="79" t="n"/>
    </row>
    <row r="32">
      <c r="A32" s="79" t="n"/>
    </row>
    <row r="33">
      <c r="A33" s="79" t="n"/>
    </row>
    <row r="34">
      <c r="A34" s="79" t="n"/>
    </row>
    <row r="35">
      <c r="A35" s="79" t="n"/>
    </row>
    <row r="36">
      <c r="A36" s="79" t="n"/>
    </row>
  </sheetData>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12.xml><?xml version="1.0" encoding="utf-8"?>
<worksheet xmlns="http://schemas.openxmlformats.org/spreadsheetml/2006/main">
  <sheetPr>
    <outlinePr summaryBelow="0" summaryRight="0"/>
    <pageSetUpPr/>
  </sheetPr>
  <dimension ref="A1:G34"/>
  <sheetViews>
    <sheetView workbookViewId="0">
      <pane ySplit="1" topLeftCell="A2" activePane="bottomLeft" state="frozen"/>
      <selection pane="bottomLeft" activeCell="B3" sqref="B3"/>
    </sheetView>
  </sheetViews>
  <sheetFormatPr baseColWidth="8" defaultColWidth="12.63" defaultRowHeight="12.75" customHeight="1"/>
  <cols>
    <col width="6.38" customWidth="1" style="123" min="1" max="2"/>
    <col width="62.63" customWidth="1" style="123" min="3" max="3"/>
    <col width="15.75" customWidth="1" style="123" min="4" max="7"/>
  </cols>
  <sheetData>
    <row r="1">
      <c r="A1" s="46" t="inlineStr">
        <is>
          <t>Sprint</t>
        </is>
      </c>
      <c r="B1" s="85" t="inlineStr">
        <is>
          <t>Goal</t>
        </is>
      </c>
      <c r="C1" s="86" t="inlineStr">
        <is>
          <t>Feature Name</t>
        </is>
      </c>
      <c r="D1" s="49" t="inlineStr">
        <is>
          <t>Est. size</t>
        </is>
      </c>
      <c r="E1" s="49" t="inlineStr">
        <is>
          <t>Est. remaining</t>
        </is>
      </c>
      <c r="F1" s="49" t="inlineStr">
        <is>
          <t>Real size</t>
        </is>
      </c>
      <c r="G1" s="49" t="inlineStr">
        <is>
          <t>Real remaining</t>
        </is>
      </c>
    </row>
    <row r="2">
      <c r="A2" s="79" t="n"/>
      <c r="B2" s="82" t="n"/>
      <c r="C2" s="82" t="n"/>
      <c r="D2" s="82" t="n"/>
      <c r="E2" s="82" t="n"/>
      <c r="F2" s="82" t="n"/>
      <c r="G2" s="82" t="n"/>
    </row>
    <row r="3">
      <c r="A3" s="52" t="inlineStr">
        <is>
          <t>Release</t>
        </is>
      </c>
      <c r="B3" s="54" t="n"/>
      <c r="C3" s="54" t="n"/>
      <c r="D3" s="54" t="n"/>
      <c r="E3" s="54" t="n"/>
      <c r="F3" s="54" t="n"/>
      <c r="G3" s="54" t="n"/>
    </row>
    <row r="4">
      <c r="A4" s="79" t="n"/>
      <c r="B4" s="82" t="n"/>
      <c r="C4" s="82" t="n"/>
      <c r="D4" s="82" t="n"/>
      <c r="E4" s="82" t="n"/>
      <c r="F4" s="82" t="n"/>
      <c r="G4" s="82" t="n"/>
    </row>
    <row r="5">
      <c r="A5" s="63" t="inlineStr">
        <is>
          <t>Total</t>
        </is>
      </c>
      <c r="B5" s="72" t="n"/>
      <c r="C5" s="72" t="n"/>
      <c r="D5" s="77">
        <f>sum(D8:D13)</f>
        <v/>
      </c>
      <c r="E5" s="77">
        <f>D5</f>
        <v/>
      </c>
      <c r="F5" s="72" t="n"/>
      <c r="G5" s="72" t="n"/>
    </row>
    <row r="6">
      <c r="A6" s="79" t="n"/>
      <c r="B6" s="82" t="n"/>
      <c r="C6" s="82" t="n"/>
      <c r="D6" s="82" t="n"/>
      <c r="E6" s="82" t="n"/>
      <c r="F6" s="82" t="n"/>
      <c r="G6" s="82" t="n"/>
    </row>
    <row r="7">
      <c r="A7" s="58" t="inlineStr">
        <is>
          <t>Sprints</t>
        </is>
      </c>
      <c r="B7" s="81" t="n"/>
      <c r="C7" s="60" t="n"/>
      <c r="D7" s="60" t="n"/>
      <c r="E7" s="60" t="n"/>
      <c r="F7" s="60" t="n"/>
      <c r="G7" s="60" t="n"/>
    </row>
    <row r="8">
      <c r="A8" s="79" t="n"/>
      <c r="B8" s="82" t="n"/>
      <c r="C8" s="82" t="n"/>
      <c r="D8" s="82" t="n"/>
      <c r="E8" s="61" t="inlineStr">
        <is>
          <t>Estimated burn-down</t>
        </is>
      </c>
      <c r="F8" s="82" t="n"/>
      <c r="G8" s="61" t="inlineStr">
        <is>
          <t>Real burn-down</t>
        </is>
      </c>
    </row>
    <row r="9">
      <c r="A9" s="62" t="n">
        <v>1</v>
      </c>
      <c r="B9" s="72" t="n"/>
      <c r="C9" s="72" t="n"/>
      <c r="D9" s="77">
        <f>sum(D16:D21)</f>
        <v/>
      </c>
      <c r="E9" s="77">
        <f>$D$5</f>
        <v/>
      </c>
      <c r="F9" s="77">
        <f>sum(F16:F21)</f>
        <v/>
      </c>
      <c r="G9" s="77">
        <f>$D$5</f>
        <v/>
      </c>
    </row>
    <row r="10">
      <c r="A10" s="79">
        <f>A9+1</f>
        <v/>
      </c>
      <c r="B10" s="82" t="n"/>
      <c r="C10" s="82" t="n"/>
      <c r="D10" s="83">
        <f>sum(D22:D27)</f>
        <v/>
      </c>
      <c r="E10" s="83">
        <f>E9-D9</f>
        <v/>
      </c>
      <c r="F10" s="83">
        <f>sum(F22:F27)</f>
        <v/>
      </c>
      <c r="G10" s="83">
        <f>G9-F9</f>
        <v/>
      </c>
    </row>
    <row r="11">
      <c r="A11" s="62">
        <f>A10+1</f>
        <v/>
      </c>
      <c r="B11" s="72" t="n"/>
      <c r="C11" s="72" t="n"/>
      <c r="D11" s="77">
        <f>sum(D28:D33)</f>
        <v/>
      </c>
      <c r="E11" s="77">
        <f>E10-D10</f>
        <v/>
      </c>
      <c r="F11" s="77">
        <f>sum(F28:F33)</f>
        <v/>
      </c>
      <c r="G11" s="77">
        <f>G10-F10</f>
        <v/>
      </c>
    </row>
    <row r="12">
      <c r="A12" s="79" t="inlineStr">
        <is>
          <t>...</t>
        </is>
      </c>
      <c r="B12" s="82" t="n"/>
      <c r="C12" s="82" t="n"/>
      <c r="D12" s="82" t="n"/>
      <c r="E12" s="83">
        <f>E11-D11</f>
        <v/>
      </c>
      <c r="F12" s="82" t="n"/>
      <c r="G12" s="83">
        <f>G11-F11</f>
        <v/>
      </c>
    </row>
    <row r="13">
      <c r="A13" s="62" t="n"/>
      <c r="B13" s="72" t="n"/>
      <c r="C13" s="72" t="n"/>
      <c r="D13" s="72" t="n"/>
      <c r="E13" s="72" t="n"/>
      <c r="F13" s="72" t="n"/>
      <c r="G13" s="72" t="n"/>
    </row>
    <row r="14">
      <c r="A14" s="66" t="inlineStr">
        <is>
          <t>Features</t>
        </is>
      </c>
      <c r="B14" s="67" t="n"/>
      <c r="C14" s="68" t="n"/>
      <c r="D14" s="68" t="n"/>
      <c r="E14" s="68" t="n"/>
      <c r="F14" s="68" t="n"/>
      <c r="G14" s="68" t="n"/>
    </row>
    <row r="15">
      <c r="A15" s="62" t="n"/>
      <c r="B15" s="72" t="n"/>
      <c r="C15" s="72" t="n"/>
      <c r="D15" s="72" t="n"/>
      <c r="E15" s="72" t="n"/>
      <c r="F15" s="72" t="n"/>
      <c r="G15" s="72" t="n"/>
    </row>
    <row r="16">
      <c r="A16" s="69">
        <f>A9</f>
        <v/>
      </c>
      <c r="B16" s="82" t="n"/>
      <c r="C16" s="82" t="n"/>
      <c r="D16" s="82" t="n"/>
      <c r="E16" s="82" t="n"/>
      <c r="F16" s="82" t="n"/>
      <c r="G16" s="82" t="n"/>
    </row>
    <row r="17">
      <c r="A17" s="62" t="n"/>
      <c r="B17" s="71" t="n"/>
      <c r="C17" s="72" t="n"/>
      <c r="D17" s="72" t="n"/>
      <c r="E17" s="72" t="n"/>
      <c r="F17" s="72" t="n"/>
      <c r="G17" s="72" t="n"/>
    </row>
    <row r="18">
      <c r="A18" s="79" t="n"/>
      <c r="B18" s="82" t="n"/>
      <c r="C18" s="75" t="n"/>
      <c r="D18" s="83" t="n"/>
      <c r="E18" s="75" t="n"/>
      <c r="F18" s="83" t="n"/>
      <c r="G18" s="75" t="n"/>
    </row>
    <row r="19">
      <c r="A19" s="62" t="n"/>
      <c r="B19" s="72" t="n"/>
      <c r="C19" s="72" t="n"/>
      <c r="D19" s="77" t="n"/>
      <c r="E19" s="72" t="n"/>
      <c r="F19" s="77" t="n"/>
      <c r="G19" s="72" t="n"/>
    </row>
    <row r="20">
      <c r="A20" s="79" t="n"/>
      <c r="B20" s="82" t="n"/>
      <c r="C20" s="75" t="n"/>
      <c r="D20" s="83" t="n"/>
      <c r="E20" s="75" t="n"/>
      <c r="F20" s="83" t="n"/>
      <c r="G20" s="75" t="n"/>
    </row>
    <row r="21">
      <c r="A21" s="62" t="n"/>
      <c r="B21" s="72" t="n"/>
      <c r="C21" s="72" t="n"/>
      <c r="D21" s="77" t="n"/>
      <c r="E21" s="72" t="n"/>
      <c r="F21" s="77" t="n"/>
      <c r="G21" s="72" t="n"/>
    </row>
    <row r="22">
      <c r="A22" s="69">
        <f>A10</f>
        <v/>
      </c>
      <c r="B22" s="82" t="n"/>
      <c r="C22" s="82" t="n"/>
      <c r="D22" s="82" t="n"/>
      <c r="E22" s="82" t="n"/>
      <c r="F22" s="82" t="n"/>
      <c r="G22" s="82" t="n"/>
    </row>
    <row r="23">
      <c r="A23" s="62" t="n"/>
      <c r="B23" s="71" t="n"/>
      <c r="C23" s="72" t="n"/>
      <c r="D23" s="72" t="n"/>
      <c r="E23" s="72" t="n"/>
      <c r="F23" s="72" t="n"/>
      <c r="G23" s="72" t="n"/>
    </row>
    <row r="24">
      <c r="A24" s="79" t="n"/>
      <c r="B24" s="82" t="n"/>
      <c r="C24" s="75" t="n"/>
      <c r="D24" s="83" t="n"/>
      <c r="E24" s="75" t="n"/>
      <c r="F24" s="83" t="n"/>
      <c r="G24" s="75" t="n"/>
    </row>
    <row r="25">
      <c r="A25" s="62" t="n"/>
      <c r="B25" s="72" t="n"/>
      <c r="C25" s="72" t="n"/>
      <c r="D25" s="77" t="n"/>
      <c r="E25" s="72" t="n"/>
      <c r="F25" s="77" t="n"/>
      <c r="G25" s="72" t="n"/>
    </row>
    <row r="26">
      <c r="A26" s="79" t="n"/>
      <c r="B26" s="82" t="n"/>
      <c r="C26" s="75" t="n"/>
      <c r="D26" s="83" t="n"/>
      <c r="E26" s="75" t="n"/>
      <c r="F26" s="83" t="n"/>
      <c r="G26" s="75" t="n"/>
    </row>
    <row r="27">
      <c r="A27" s="62" t="n"/>
      <c r="B27" s="72" t="n"/>
      <c r="C27" s="72" t="n"/>
      <c r="D27" s="77" t="n"/>
      <c r="E27" s="72" t="n"/>
      <c r="F27" s="77" t="n"/>
      <c r="G27" s="72" t="n"/>
    </row>
    <row r="28">
      <c r="A28" s="69">
        <f>A11</f>
        <v/>
      </c>
      <c r="B28" s="82" t="n"/>
      <c r="C28" s="82" t="n"/>
      <c r="D28" s="82" t="n"/>
      <c r="E28" s="82" t="n"/>
      <c r="F28" s="82" t="n"/>
      <c r="G28" s="82" t="n"/>
    </row>
    <row r="29">
      <c r="A29" s="62" t="n"/>
      <c r="B29" s="71" t="n"/>
      <c r="C29" s="72" t="n"/>
      <c r="D29" s="72" t="n"/>
      <c r="E29" s="72" t="n"/>
      <c r="F29" s="72" t="n"/>
      <c r="G29" s="72" t="n"/>
    </row>
    <row r="30">
      <c r="A30" s="79" t="n"/>
      <c r="B30" s="82" t="n"/>
      <c r="C30" s="75" t="n"/>
      <c r="D30" s="83" t="n"/>
      <c r="E30" s="75" t="n"/>
      <c r="F30" s="75" t="n"/>
      <c r="G30" s="75" t="n"/>
    </row>
    <row r="31">
      <c r="A31" s="62" t="n"/>
      <c r="B31" s="72" t="n"/>
      <c r="C31" s="72" t="n"/>
      <c r="D31" s="77" t="n"/>
      <c r="E31" s="72" t="n"/>
      <c r="F31" s="72" t="n"/>
      <c r="G31" s="72" t="n"/>
    </row>
    <row r="32">
      <c r="A32" s="79" t="n"/>
      <c r="B32" s="82" t="n"/>
      <c r="C32" s="82" t="n"/>
      <c r="D32" s="83" t="n"/>
      <c r="E32" s="75" t="n"/>
      <c r="F32" s="75" t="n"/>
      <c r="G32" s="75" t="n"/>
    </row>
    <row r="33">
      <c r="A33" s="62" t="n"/>
      <c r="B33" s="72" t="n"/>
      <c r="C33" s="84" t="inlineStr">
        <is>
          <t>PLEASE CREATE THE BURNDOWN CHART ON A NEW TAB USING THE DATA FROM THIS TAB</t>
        </is>
      </c>
      <c r="D33" s="77" t="n"/>
      <c r="E33" s="72" t="n"/>
      <c r="F33" s="72" t="n"/>
      <c r="G33" s="72" t="n"/>
    </row>
    <row r="34">
      <c r="A34" s="79" t="n"/>
      <c r="B34" s="82" t="n"/>
      <c r="C34" s="82" t="n"/>
      <c r="D34" s="82" t="n"/>
      <c r="E34" s="82" t="n"/>
      <c r="F34" s="82" t="n"/>
      <c r="G34" s="82" t="n"/>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0" summaryRight="0"/>
    <pageSetUpPr/>
  </sheetPr>
  <dimension ref="A1:D20"/>
  <sheetViews>
    <sheetView workbookViewId="0">
      <pane ySplit="1" topLeftCell="A2" activePane="bottomLeft" state="frozen"/>
      <selection pane="bottomLeft" activeCell="B3" sqref="B3"/>
    </sheetView>
  </sheetViews>
  <sheetFormatPr baseColWidth="8" defaultColWidth="12.63" defaultRowHeight="12.75" customHeight="1"/>
  <cols>
    <col width="5.13" customWidth="1" style="123" min="1" max="1"/>
    <col width="40.13" customWidth="1" style="123" min="2" max="4"/>
  </cols>
  <sheetData>
    <row r="1">
      <c r="A1" s="85" t="inlineStr">
        <is>
          <t>#</t>
        </is>
      </c>
      <c r="B1" s="86" t="inlineStr">
        <is>
          <t>Feature Definition of Done</t>
        </is>
      </c>
      <c r="C1" s="86" t="inlineStr">
        <is>
          <t>Sprint Release Definition of Done</t>
        </is>
      </c>
      <c r="D1" s="86" t="inlineStr">
        <is>
          <t>Project Release Definition of Done</t>
        </is>
      </c>
    </row>
    <row r="2">
      <c r="A2" s="35" t="n"/>
      <c r="B2" s="35" t="inlineStr">
        <is>
          <t>Code has been reviewed by at least one SD</t>
        </is>
      </c>
      <c r="C2" s="35" t="inlineStr">
        <is>
          <t>All Software Components are functioning</t>
        </is>
      </c>
      <c r="D2" s="35" t="inlineStr">
        <is>
          <t>Architecture documentation has been updated</t>
        </is>
      </c>
    </row>
    <row r="3">
      <c r="A3" s="35" t="n"/>
      <c r="B3" s="35" t="inlineStr">
        <is>
          <t>Feature has been reviewed by at least one PO</t>
        </is>
      </c>
      <c r="C3" s="35" t="inlineStr">
        <is>
          <t>Sprint release notes have been generated from all merge-requests since the last release</t>
        </is>
      </c>
      <c r="D3" s="35" t="inlineStr">
        <is>
          <t>Tests exist for all mayor features</t>
        </is>
      </c>
    </row>
    <row r="4">
      <c r="A4" s="35" t="n"/>
      <c r="B4" s="35" t="inlineStr">
        <is>
          <t>Build scripts have been adapted if necessary</t>
        </is>
      </c>
      <c r="C4" s="35" t="inlineStr">
        <is>
          <t>All container communication is working</t>
        </is>
      </c>
      <c r="D4" s="35" t="inlineStr">
        <is>
          <t>All tests are passing</t>
        </is>
      </c>
    </row>
    <row r="5">
      <c r="A5" s="35" t="n"/>
      <c r="B5" s="35" t="inlineStr">
        <is>
          <t>CI Pipeline Passes</t>
        </is>
      </c>
      <c r="C5" s="35" t="n"/>
      <c r="D5" s="35" t="n"/>
    </row>
    <row r="6">
      <c r="A6" s="35" t="n"/>
      <c r="B6" s="35" t="inlineStr">
        <is>
          <t>Code has been merged to main</t>
        </is>
      </c>
      <c r="C6" s="35" t="n"/>
      <c r="D6" s="35" t="n"/>
    </row>
    <row r="7">
      <c r="A7" s="35" t="n"/>
      <c r="B7" s="35" t="inlineStr">
        <is>
          <t>BOM has been updated if necessary</t>
        </is>
      </c>
      <c r="C7" s="35" t="n"/>
      <c r="D7" s="35" t="n"/>
    </row>
    <row r="8">
      <c r="A8" s="35" t="n"/>
      <c r="B8" s="35" t="n"/>
      <c r="C8" s="35" t="n"/>
      <c r="D8" s="35" t="n"/>
    </row>
    <row r="9">
      <c r="A9" s="35" t="n"/>
      <c r="B9" s="35" t="n"/>
      <c r="C9" s="35" t="n"/>
      <c r="D9" s="35" t="n"/>
    </row>
    <row r="10">
      <c r="A10" s="35" t="n"/>
      <c r="B10" s="35" t="n"/>
      <c r="C10" s="35" t="n"/>
      <c r="D10" s="35" t="n"/>
    </row>
    <row r="11">
      <c r="A11" s="35" t="n"/>
      <c r="B11" s="35" t="n"/>
      <c r="C11" s="35" t="n"/>
      <c r="D11" s="35" t="n"/>
    </row>
    <row r="12">
      <c r="A12" s="35" t="n"/>
      <c r="B12" s="35" t="n"/>
      <c r="C12" s="35" t="n"/>
      <c r="D12" s="35" t="n"/>
    </row>
    <row r="13">
      <c r="A13" s="35" t="n"/>
      <c r="B13" s="35" t="n"/>
      <c r="C13" s="35" t="n"/>
      <c r="D13" s="35" t="n"/>
    </row>
    <row r="14">
      <c r="A14" s="35" t="n"/>
      <c r="B14" s="35" t="n"/>
      <c r="C14" s="35" t="n"/>
      <c r="D14" s="35" t="n"/>
    </row>
    <row r="15">
      <c r="A15" s="35" t="n"/>
      <c r="B15" s="35" t="n"/>
      <c r="C15" s="35" t="n"/>
      <c r="D15" s="35" t="n"/>
    </row>
    <row r="16">
      <c r="A16" s="35" t="n"/>
      <c r="B16" s="35" t="n"/>
      <c r="C16" s="35" t="n"/>
      <c r="D16" s="35" t="n"/>
    </row>
    <row r="17">
      <c r="A17" s="35" t="n"/>
      <c r="B17" s="35" t="n"/>
      <c r="C17" s="35" t="n"/>
      <c r="D17" s="35" t="n"/>
    </row>
    <row r="18">
      <c r="A18" s="35" t="n"/>
      <c r="B18" s="35" t="n"/>
      <c r="C18" s="35" t="n"/>
      <c r="D18" s="35" t="n"/>
    </row>
    <row r="19">
      <c r="A19" s="35" t="n"/>
      <c r="B19" s="35" t="n"/>
      <c r="C19" s="35" t="n"/>
      <c r="D19" s="35" t="n"/>
    </row>
    <row r="20">
      <c r="A20" s="35" t="n"/>
      <c r="B20" s="35" t="n"/>
      <c r="C20" s="35" t="n"/>
      <c r="D20" s="35" t="n"/>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0" summaryRight="0"/>
    <pageSetUpPr/>
  </sheetPr>
  <dimension ref="A1:B20"/>
  <sheetViews>
    <sheetView workbookViewId="0">
      <pane ySplit="1" topLeftCell="A2" activePane="bottomLeft" state="frozen"/>
      <selection pane="bottomLeft" activeCell="B3" sqref="B3"/>
    </sheetView>
  </sheetViews>
  <sheetFormatPr baseColWidth="8" defaultColWidth="12.63" defaultRowHeight="12.75" customHeight="1"/>
  <cols>
    <col width="25.13" customWidth="1" style="123" min="1" max="1"/>
    <col width="100.13" customWidth="1" style="123" min="2" max="2"/>
  </cols>
  <sheetData>
    <row r="1">
      <c r="A1" s="44" t="inlineStr">
        <is>
          <t>Type</t>
        </is>
      </c>
      <c r="B1" s="44" t="inlineStr">
        <is>
          <t>Link / reference</t>
        </is>
      </c>
    </row>
    <row r="2">
      <c r="A2" s="35" t="n"/>
      <c r="B2" s="35" t="n"/>
    </row>
    <row r="3">
      <c r="A3" s="35" t="n"/>
      <c r="B3" s="35" t="n"/>
    </row>
    <row r="4">
      <c r="A4" s="35" t="n"/>
      <c r="B4" s="35" t="n"/>
    </row>
    <row r="5">
      <c r="A5" s="35" t="n"/>
      <c r="B5" s="35" t="n"/>
    </row>
    <row r="6">
      <c r="A6" s="35" t="n"/>
      <c r="B6" s="35" t="n"/>
    </row>
    <row r="7">
      <c r="A7" s="35" t="n"/>
      <c r="B7" s="35" t="n"/>
    </row>
    <row r="8">
      <c r="A8" s="35" t="n"/>
      <c r="B8" s="35" t="n"/>
    </row>
    <row r="9">
      <c r="A9" s="35" t="n"/>
      <c r="B9" s="35" t="n"/>
    </row>
    <row r="10">
      <c r="A10" s="35" t="n"/>
      <c r="B10" s="35" t="n"/>
    </row>
    <row r="11">
      <c r="A11" s="35" t="n"/>
      <c r="B11" s="35" t="n"/>
    </row>
    <row r="12">
      <c r="A12" s="35" t="n"/>
      <c r="B12" s="35" t="n"/>
    </row>
    <row r="13">
      <c r="A13" s="35" t="n"/>
      <c r="B13" s="35" t="n"/>
    </row>
    <row r="14">
      <c r="A14" s="35" t="n"/>
      <c r="B14" s="35" t="n"/>
    </row>
    <row r="15">
      <c r="A15" s="35" t="n"/>
      <c r="B15" s="35" t="n"/>
    </row>
    <row r="16">
      <c r="A16" s="35" t="n"/>
      <c r="B16" s="35" t="n"/>
    </row>
    <row r="17">
      <c r="A17" s="35" t="n"/>
      <c r="B17" s="35" t="n"/>
    </row>
    <row r="18">
      <c r="A18" s="35" t="n"/>
      <c r="B18" s="35" t="n"/>
    </row>
    <row r="19">
      <c r="A19" s="35" t="n"/>
      <c r="B19" s="35" t="n"/>
    </row>
    <row r="20">
      <c r="A20" s="35" t="n"/>
      <c r="B20" s="35" t="n"/>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0" summaryRight="0"/>
    <pageSetUpPr fitToPage="1"/>
  </sheetPr>
  <dimension ref="A1:H20"/>
  <sheetViews>
    <sheetView workbookViewId="0">
      <pane ySplit="1" topLeftCell="A2" activePane="bottomLeft" state="frozen"/>
      <selection pane="bottomLeft" activeCell="B3" sqref="B3"/>
    </sheetView>
  </sheetViews>
  <sheetFormatPr baseColWidth="8" defaultColWidth="12.63" defaultRowHeight="12.75" customHeight="1"/>
  <cols>
    <col width="25.13" customWidth="1" style="123" min="1" max="2"/>
    <col width="12.63" customWidth="1" style="123" min="3" max="5"/>
  </cols>
  <sheetData>
    <row r="1">
      <c r="A1" s="93">
        <f>'Project Team'!A1</f>
        <v/>
      </c>
      <c r="B1" s="93">
        <f>'Project Team'!B1</f>
        <v/>
      </c>
      <c r="C1" s="94" t="inlineStr">
        <is>
          <t>Value</t>
        </is>
      </c>
      <c r="D1" s="95" t="n"/>
      <c r="E1" s="96" t="n"/>
      <c r="F1" s="97" t="n"/>
      <c r="G1" s="98" t="n"/>
      <c r="H1" s="98" t="n"/>
    </row>
    <row r="2">
      <c r="A2" s="99">
        <f>'Project Team'!A2</f>
        <v/>
      </c>
      <c r="B2" s="99">
        <f>'Project Team'!B2</f>
        <v/>
      </c>
      <c r="C2" s="100" t="n"/>
      <c r="D2" s="101" t="n"/>
      <c r="E2" s="102">
        <f>average(C2:C9)</f>
        <v/>
      </c>
      <c r="F2" s="103">
        <f>if(stdev(C2:C6) &gt; 0,"NOK", "OK")</f>
        <v/>
      </c>
      <c r="G2" s="104" t="n"/>
      <c r="H2" s="104" t="n"/>
    </row>
    <row r="3">
      <c r="A3" s="113" t="n"/>
      <c r="B3" s="113" t="n"/>
      <c r="C3" s="100" t="n"/>
      <c r="D3" s="106" t="n"/>
      <c r="G3" s="107" t="n"/>
      <c r="H3" s="107" t="n"/>
    </row>
    <row r="4">
      <c r="A4" s="99">
        <f>'Project Team'!A3</f>
        <v/>
      </c>
      <c r="B4" s="99">
        <f>'Project Team'!B3</f>
        <v/>
      </c>
      <c r="C4" s="100" t="n">
        <v>3</v>
      </c>
      <c r="D4" s="101" t="n"/>
      <c r="G4" s="104" t="n"/>
      <c r="H4" s="104" t="n"/>
    </row>
    <row r="5">
      <c r="A5" s="113">
        <f>'Project Team'!A4</f>
        <v/>
      </c>
      <c r="B5" s="113">
        <f>'Project Team'!B4</f>
        <v/>
      </c>
      <c r="C5" s="100" t="n">
        <v>3</v>
      </c>
      <c r="D5" s="108" t="n"/>
      <c r="E5" s="108" t="n"/>
      <c r="F5" s="108" t="n"/>
      <c r="G5" s="107" t="n"/>
      <c r="H5" s="107" t="n"/>
    </row>
    <row r="6">
      <c r="A6" s="99">
        <f>'Project Team'!A7</f>
        <v/>
      </c>
      <c r="B6" s="99">
        <f>'Project Team'!B7</f>
        <v/>
      </c>
      <c r="C6" s="100" t="n">
        <v>21</v>
      </c>
      <c r="D6" s="109" t="n"/>
      <c r="E6" s="110" t="n">
        <v>0</v>
      </c>
      <c r="F6" s="111" t="inlineStr">
        <is>
          <t>No size</t>
        </is>
      </c>
      <c r="G6" s="104" t="n"/>
      <c r="H6" s="104" t="n"/>
    </row>
    <row r="7">
      <c r="A7" s="113">
        <f>'Project Team'!A8</f>
        <v/>
      </c>
      <c r="B7" s="113">
        <f>'Project Team'!B8</f>
        <v/>
      </c>
      <c r="C7" s="112" t="n"/>
      <c r="D7" s="108" t="n"/>
      <c r="E7" s="110" t="n">
        <v>1</v>
      </c>
      <c r="F7" s="111" t="inlineStr">
        <is>
          <t>Trivial size</t>
        </is>
      </c>
      <c r="G7" s="107" t="n"/>
      <c r="H7" s="107" t="n"/>
    </row>
    <row r="8">
      <c r="A8" s="99">
        <f>'Project Team'!A9</f>
        <v/>
      </c>
      <c r="B8" s="99">
        <f>'Project Team'!B9</f>
        <v/>
      </c>
      <c r="C8" s="100" t="n"/>
      <c r="D8" s="109" t="n"/>
      <c r="E8" s="110" t="n">
        <v>2</v>
      </c>
      <c r="F8" s="111" t="inlineStr">
        <is>
          <t>Small size</t>
        </is>
      </c>
      <c r="G8" s="104" t="n"/>
      <c r="H8" s="104" t="n"/>
    </row>
    <row r="9">
      <c r="A9" s="113" t="inlineStr">
        <is>
          <t>Asadi</t>
        </is>
      </c>
      <c r="B9" s="113" t="inlineStr">
        <is>
          <t>Zohreh</t>
        </is>
      </c>
      <c r="C9" s="100" t="n">
        <v>3</v>
      </c>
      <c r="D9" s="108" t="n"/>
      <c r="E9" s="110" t="n">
        <v>3</v>
      </c>
      <c r="F9" s="111" t="inlineStr">
        <is>
          <t>Medium size</t>
        </is>
      </c>
      <c r="G9" s="107" t="n"/>
      <c r="H9" s="107" t="n"/>
    </row>
    <row r="10">
      <c r="C10" s="114" t="n"/>
      <c r="D10" s="109" t="n"/>
      <c r="E10" s="110" t="n">
        <v>5</v>
      </c>
      <c r="F10" s="111" t="inlineStr">
        <is>
          <t>Large size</t>
        </is>
      </c>
      <c r="G10" s="104" t="n"/>
      <c r="H10" s="104" t="n"/>
    </row>
    <row r="11">
      <c r="A11" s="99">
        <f>'Project Team'!A5</f>
        <v/>
      </c>
      <c r="B11" s="99">
        <f>'Project Team'!B5</f>
        <v/>
      </c>
      <c r="C11" s="100" t="n"/>
      <c r="D11" s="108" t="n"/>
      <c r="E11" s="110" t="n">
        <v>8</v>
      </c>
      <c r="F11" s="111" t="inlineStr">
        <is>
          <t>Very large size</t>
        </is>
      </c>
      <c r="G11" s="107" t="n"/>
      <c r="H11" s="107" t="n"/>
    </row>
    <row r="12">
      <c r="A12" s="113">
        <f>'Project Team'!A6</f>
        <v/>
      </c>
      <c r="B12" s="113" t="inlineStr">
        <is>
          <t>Benedikt</t>
        </is>
      </c>
      <c r="C12" s="115" t="n"/>
      <c r="D12" s="109" t="n"/>
      <c r="E12" s="110" t="n">
        <v>13</v>
      </c>
      <c r="F12" s="111" t="inlineStr">
        <is>
          <t>Too large (size)</t>
        </is>
      </c>
      <c r="G12" s="104" t="n"/>
      <c r="H12" s="104" t="n"/>
    </row>
    <row r="13">
      <c r="C13" s="108" t="n"/>
      <c r="D13" s="108" t="n"/>
      <c r="E13" s="108" t="n"/>
      <c r="F13" s="108" t="n"/>
      <c r="G13" s="107" t="n"/>
      <c r="H13" s="107" t="n"/>
    </row>
    <row r="14">
      <c r="A14" s="117" t="inlineStr">
        <is>
          <t>How to play planning poker</t>
        </is>
      </c>
      <c r="B14" s="117" t="n"/>
      <c r="C14" s="117" t="n"/>
      <c r="D14" s="117" t="n"/>
      <c r="E14" s="117" t="n"/>
      <c r="F14" s="117" t="n"/>
      <c r="G14" s="117" t="n"/>
      <c r="H14" s="117" t="n"/>
    </row>
    <row r="15">
      <c r="A15" s="122" t="n"/>
      <c r="B15" s="122" t="n"/>
      <c r="C15" s="122" t="n"/>
      <c r="D15" s="122" t="n"/>
      <c r="E15" s="122" t="n"/>
      <c r="F15" s="122" t="n"/>
      <c r="G15" s="122" t="n"/>
      <c r="H15" s="122" t="n"/>
    </row>
    <row r="16">
      <c r="A16" s="120" t="inlineStr">
        <is>
          <t>1. Everyone type their number into their value field, don't hit return yet</t>
        </is>
      </c>
      <c r="B16" s="120" t="n"/>
      <c r="C16" s="120" t="n"/>
      <c r="D16" s="120" t="n"/>
      <c r="E16" s="120" t="n"/>
      <c r="F16" s="120" t="n"/>
      <c r="G16" s="120" t="n"/>
      <c r="H16" s="120" t="n"/>
    </row>
    <row r="17">
      <c r="A17" s="122" t="inlineStr">
        <is>
          <t>2. Someone, perhaps a product owner, count down 3.. 2.. 1..</t>
        </is>
      </c>
      <c r="B17" s="122" t="n"/>
      <c r="C17" s="122" t="n"/>
      <c r="D17" s="122" t="n"/>
      <c r="E17" s="122" t="n"/>
      <c r="F17" s="122" t="n"/>
      <c r="G17" s="122" t="n"/>
      <c r="H17" s="122" t="n"/>
    </row>
    <row r="18">
      <c r="A18" s="120" t="inlineStr">
        <is>
          <t>3. Then, everyone hit return to submit their value</t>
        </is>
      </c>
      <c r="B18" s="120" t="n"/>
      <c r="C18" s="120" t="n"/>
      <c r="D18" s="120" t="n"/>
      <c r="E18" s="120" t="n"/>
      <c r="F18" s="120" t="n"/>
      <c r="G18" s="120" t="n"/>
      <c r="H18" s="120" t="n"/>
    </row>
    <row r="19">
      <c r="A19" s="122" t="n"/>
      <c r="B19" s="122" t="n"/>
      <c r="C19" s="122" t="n"/>
      <c r="D19" s="122" t="n"/>
      <c r="E19" s="122" t="n"/>
      <c r="F19" s="122" t="n"/>
      <c r="G19" s="122" t="inlineStr">
        <is>
          <t>no cap yet</t>
        </is>
      </c>
      <c r="H19" s="122" t="n"/>
    </row>
    <row r="20">
      <c r="A20" s="120" t="n"/>
      <c r="B20" s="120" t="n"/>
      <c r="C20" s="120" t="n"/>
      <c r="D20" s="120" t="n"/>
      <c r="E20" s="120" t="n"/>
      <c r="F20" s="120" t="n"/>
      <c r="G20" s="120" t="n"/>
      <c r="H20" s="120" t="n"/>
    </row>
  </sheetData>
  <mergeCells count="2">
    <mergeCell ref="E2:E4"/>
    <mergeCell ref="F2:F4"/>
  </mergeCells>
  <printOptions horizontalCentered="1" gridLines="1"/>
  <pageMargins left="0.7" right="0.7" top="0.75" bottom="0.75" header="0" footer="0"/>
  <pageSetup orientation="landscape" paperSize="9" fitToHeight="0" pageOrder="overThenDown" cellComments="atEnd"/>
</worksheet>
</file>

<file path=xl/worksheets/sheet1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5" customWidth="1" style="123" min="1" max="1"/>
    <col width="30" customWidth="1" style="123" min="2" max="2"/>
    <col width="40" customWidth="1" style="123" min="3" max="3"/>
    <col width="15" customWidth="1" style="123" min="4" max="4"/>
    <col width="25" customWidth="1" style="123" min="5" max="5"/>
    <col width="40" customWidth="1" style="123" min="6" max="6"/>
  </cols>
  <sheetData>
    <row r="1">
      <c r="A1" s="124" t="inlineStr">
        <is>
          <t>#</t>
        </is>
      </c>
      <c r="B1" s="124" t="inlineStr">
        <is>
          <t>Context</t>
        </is>
      </c>
      <c r="C1" s="124" t="inlineStr">
        <is>
          <t>Name</t>
        </is>
      </c>
      <c r="D1" s="124" t="inlineStr">
        <is>
          <t>Version</t>
        </is>
      </c>
      <c r="E1" s="124" t="inlineStr">
        <is>
          <t>License</t>
        </is>
      </c>
      <c r="F1" s="124" t="inlineStr">
        <is>
          <t>Comment</t>
        </is>
      </c>
    </row>
    <row r="2">
      <c r="A2" t="inlineStr">
        <is>
          <t>1</t>
        </is>
      </c>
      <c r="B2" t="inlineStr">
        <is>
          <t>Frontend (React UI)</t>
        </is>
      </c>
      <c r="C2" t="inlineStr">
        <is>
          <t>npm:react</t>
        </is>
      </c>
      <c r="D2" t="inlineStr">
        <is>
          <t>18.3.1</t>
        </is>
      </c>
      <c r="E2" t="inlineStr">
        <is>
          <t>MIT</t>
        </is>
      </c>
      <c r="F2" t="inlineStr"/>
    </row>
    <row r="3">
      <c r="A3" t="inlineStr">
        <is>
          <t>2</t>
        </is>
      </c>
      <c r="B3" t="inlineStr">
        <is>
          <t>Frontend (React UI)</t>
        </is>
      </c>
      <c r="C3" t="inlineStr">
        <is>
          <t>npm:react-dom</t>
        </is>
      </c>
      <c r="D3" t="inlineStr">
        <is>
          <t>18.3.1</t>
        </is>
      </c>
      <c r="E3" t="inlineStr">
        <is>
          <t>MIT</t>
        </is>
      </c>
      <c r="F3" t="inlineStr"/>
    </row>
    <row r="4">
      <c r="A4" t="inlineStr">
        <is>
          <t>3</t>
        </is>
      </c>
      <c r="B4" t="inlineStr">
        <is>
          <t>Backend (FastAPI API)</t>
        </is>
      </c>
      <c r="C4" t="inlineStr">
        <is>
          <t>pypi:aioice</t>
        </is>
      </c>
      <c r="D4" t="inlineStr">
        <is>
          <t>0.10.1</t>
        </is>
      </c>
      <c r="E4" t="inlineStr">
        <is>
          <t>BSD-3-Clause</t>
        </is>
      </c>
      <c r="F4" t="inlineStr"/>
    </row>
    <row r="5">
      <c r="A5" t="inlineStr">
        <is>
          <t>4</t>
        </is>
      </c>
      <c r="B5" t="inlineStr">
        <is>
          <t>Backend (FastAPI API)</t>
        </is>
      </c>
      <c r="C5" t="inlineStr">
        <is>
          <t>pypi:aiortc</t>
        </is>
      </c>
      <c r="D5" t="inlineStr">
        <is>
          <t>1.14.0</t>
        </is>
      </c>
      <c r="E5" t="inlineStr">
        <is>
          <t>BSD-3-Clause</t>
        </is>
      </c>
      <c r="F5" t="inlineStr"/>
    </row>
    <row r="6">
      <c r="A6" t="inlineStr">
        <is>
          <t>5</t>
        </is>
      </c>
      <c r="B6" t="inlineStr">
        <is>
          <t>Backend (FastAPI API)</t>
        </is>
      </c>
      <c r="C6" t="inlineStr">
        <is>
          <t>pypi:av</t>
        </is>
      </c>
      <c r="D6" t="inlineStr">
        <is>
          <t>16.0.1</t>
        </is>
      </c>
      <c r="E6" t="inlineStr">
        <is>
          <t>BSD-3-Clause</t>
        </is>
      </c>
      <c r="F6" t="inlineStr"/>
    </row>
    <row r="7">
      <c r="A7" t="inlineStr">
        <is>
          <t>6</t>
        </is>
      </c>
      <c r="B7" t="inlineStr">
        <is>
          <t>Backend (FastAPI API)</t>
        </is>
      </c>
      <c r="C7" t="inlineStr">
        <is>
          <t>pypi:fastapi</t>
        </is>
      </c>
      <c r="D7" t="inlineStr">
        <is>
          <t>0.115.10</t>
        </is>
      </c>
      <c r="E7" t="inlineStr">
        <is>
          <t>MIT</t>
        </is>
      </c>
      <c r="F7" t="inlineStr"/>
    </row>
    <row r="8">
      <c r="A8" t="inlineStr">
        <is>
          <t>7</t>
        </is>
      </c>
      <c r="B8" t="inlineStr">
        <is>
          <t>Backend (FastAPI API)</t>
        </is>
      </c>
      <c r="C8" t="inlineStr">
        <is>
          <t>pypi:httpx</t>
        </is>
      </c>
      <c r="D8" t="inlineStr">
        <is>
          <t>0.27.2</t>
        </is>
      </c>
      <c r="E8" t="inlineStr">
        <is>
          <t>BSD License</t>
        </is>
      </c>
      <c r="F8" t="inlineStr"/>
    </row>
    <row r="9">
      <c r="A9" t="inlineStr">
        <is>
          <t>8</t>
        </is>
      </c>
      <c r="B9" t="inlineStr">
        <is>
          <t>Backend (FastAPI API)</t>
        </is>
      </c>
      <c r="C9" t="inlineStr">
        <is>
          <t>pypi:numpy</t>
        </is>
      </c>
      <c r="D9" t="inlineStr">
        <is>
          <t>1.26.4</t>
        </is>
      </c>
      <c r="E9" t="inlineStr">
        <is>
          <t>BSD-3-Clause</t>
        </is>
      </c>
      <c r="F9" t="inlineStr"/>
    </row>
    <row r="10">
      <c r="A10" t="inlineStr">
        <is>
          <t>9</t>
        </is>
      </c>
      <c r="B10" t="inlineStr">
        <is>
          <t>Backend (FastAPI API)</t>
        </is>
      </c>
      <c r="C10" t="inlineStr">
        <is>
          <t>pypi:opencv-python</t>
        </is>
      </c>
      <c r="D10" t="inlineStr">
        <is>
          <t>4.9.0.80</t>
        </is>
      </c>
      <c r="E10" t="inlineStr">
        <is>
          <t>Apache 2.0</t>
        </is>
      </c>
      <c r="F10" t="inlineStr"/>
    </row>
    <row r="11">
      <c r="A11" t="inlineStr">
        <is>
          <t>10</t>
        </is>
      </c>
      <c r="B11" t="inlineStr">
        <is>
          <t>Backend (FastAPI API)</t>
        </is>
      </c>
      <c r="C11" t="inlineStr">
        <is>
          <t>pypi:pydantic</t>
        </is>
      </c>
      <c r="D11" t="inlineStr">
        <is>
          <t>2.12.3</t>
        </is>
      </c>
      <c r="E11" t="inlineStr">
        <is>
          <t>MIT</t>
        </is>
      </c>
      <c r="F11" t="inlineStr"/>
    </row>
    <row r="12">
      <c r="A12" t="inlineStr">
        <is>
          <t>11</t>
        </is>
      </c>
      <c r="B12" t="inlineStr">
        <is>
          <t>Backend (FastAPI API)</t>
        </is>
      </c>
      <c r="C12" t="inlineStr">
        <is>
          <t>pypi:timm</t>
        </is>
      </c>
      <c r="D12" t="inlineStr">
        <is>
          <t>1.0.22</t>
        </is>
      </c>
      <c r="E12" t="inlineStr">
        <is>
          <t>Apache-2.0</t>
        </is>
      </c>
      <c r="F12" t="inlineStr"/>
    </row>
    <row r="13">
      <c r="A13" t="inlineStr">
        <is>
          <t>12</t>
        </is>
      </c>
      <c r="B13" t="inlineStr">
        <is>
          <t>Backend (FastAPI API)</t>
        </is>
      </c>
      <c r="C13" t="inlineStr">
        <is>
          <t>pypi:ultralytics</t>
        </is>
      </c>
      <c r="D13" t="inlineStr">
        <is>
          <t>8.3.58</t>
        </is>
      </c>
      <c r="E13" t="inlineStr">
        <is>
          <t>AGPL-3.0</t>
        </is>
      </c>
      <c r="F13" t="inlineStr"/>
    </row>
    <row r="14">
      <c r="A14" t="inlineStr">
        <is>
          <t>13</t>
        </is>
      </c>
      <c r="B14" t="inlineStr">
        <is>
          <t>Backend (FastAPI API)</t>
        </is>
      </c>
      <c r="C14" t="inlineStr">
        <is>
          <t>pypi:uvicorn</t>
        </is>
      </c>
      <c r="D14" t="inlineStr">
        <is>
          <t>0.38.0</t>
        </is>
      </c>
      <c r="E14" t="inlineStr">
        <is>
          <t>BSD-3-Clause</t>
        </is>
      </c>
      <c r="F14" t="inlineStr"/>
    </row>
    <row r="15">
      <c r="A15" t="inlineStr">
        <is>
          <t>14</t>
        </is>
      </c>
      <c r="B15" t="inlineStr">
        <is>
          <t>Frontend (React UI)</t>
        </is>
      </c>
      <c r="C15" t="inlineStr">
        <is>
          <t>npm:@types/react</t>
        </is>
      </c>
      <c r="D15" t="inlineStr">
        <is>
          <t>18.3.12</t>
        </is>
      </c>
      <c r="E15" t="inlineStr">
        <is>
          <t>MIT</t>
        </is>
      </c>
      <c r="F15" t="inlineStr"/>
    </row>
    <row r="16">
      <c r="A16" t="inlineStr">
        <is>
          <t>15</t>
        </is>
      </c>
      <c r="B16" t="inlineStr">
        <is>
          <t>Frontend (React UI)</t>
        </is>
      </c>
      <c r="C16" t="inlineStr">
        <is>
          <t>npm:@types/react-dom</t>
        </is>
      </c>
      <c r="D16" t="inlineStr">
        <is>
          <t>18.3.1</t>
        </is>
      </c>
      <c r="E16" t="inlineStr">
        <is>
          <t>MIT</t>
        </is>
      </c>
      <c r="F16" t="inlineStr"/>
    </row>
    <row r="17">
      <c r="A17" t="inlineStr">
        <is>
          <t>16</t>
        </is>
      </c>
      <c r="B17" t="inlineStr">
        <is>
          <t>Frontend (React UI)</t>
        </is>
      </c>
      <c r="C17" t="inlineStr">
        <is>
          <t>npm:@typescript-eslint/eslint-plugin</t>
        </is>
      </c>
      <c r="D17" t="inlineStr">
        <is>
          <t>8.16.0</t>
        </is>
      </c>
      <c r="E17" t="inlineStr">
        <is>
          <t>MIT</t>
        </is>
      </c>
      <c r="F17" t="inlineStr"/>
    </row>
    <row r="18">
      <c r="A18" t="inlineStr">
        <is>
          <t>17</t>
        </is>
      </c>
      <c r="B18" t="inlineStr">
        <is>
          <t>Frontend (React UI)</t>
        </is>
      </c>
      <c r="C18" t="inlineStr">
        <is>
          <t>npm:@typescript-eslint/parser</t>
        </is>
      </c>
      <c r="D18" t="inlineStr">
        <is>
          <t>8.16.0</t>
        </is>
      </c>
      <c r="E18" t="inlineStr">
        <is>
          <t>BSD-2-Clause</t>
        </is>
      </c>
      <c r="F18" t="inlineStr"/>
    </row>
    <row r="19">
      <c r="A19" t="inlineStr">
        <is>
          <t>18</t>
        </is>
      </c>
      <c r="B19" t="inlineStr">
        <is>
          <t>Frontend (React UI)</t>
        </is>
      </c>
      <c r="C19" t="inlineStr">
        <is>
          <t>npm:@vitejs/plugin-react</t>
        </is>
      </c>
      <c r="D19" t="inlineStr">
        <is>
          <t>4.3.4</t>
        </is>
      </c>
      <c r="E19" t="inlineStr">
        <is>
          <t>MIT</t>
        </is>
      </c>
      <c r="F19" t="inlineStr"/>
    </row>
    <row r="20">
      <c r="A20" t="inlineStr">
        <is>
          <t>19</t>
        </is>
      </c>
      <c r="B20" t="inlineStr">
        <is>
          <t>Frontend (React UI)</t>
        </is>
      </c>
      <c r="C20" t="inlineStr">
        <is>
          <t>npm:eslint</t>
        </is>
      </c>
      <c r="D20" t="inlineStr">
        <is>
          <t>9.17.0</t>
        </is>
      </c>
      <c r="E20" t="inlineStr">
        <is>
          <t>MIT</t>
        </is>
      </c>
      <c r="F20" t="inlineStr"/>
    </row>
    <row r="21">
      <c r="A21" t="inlineStr">
        <is>
          <t>20</t>
        </is>
      </c>
      <c r="B21" t="inlineStr">
        <is>
          <t>Backend Dev Dependencies</t>
        </is>
      </c>
      <c r="C21" t="inlineStr">
        <is>
          <t>pypi:mypy</t>
        </is>
      </c>
      <c r="D21" t="inlineStr">
        <is>
          <t>1.13.0</t>
        </is>
      </c>
      <c r="E21" t="inlineStr">
        <is>
          <t>MIT</t>
        </is>
      </c>
      <c r="F21" t="inlineStr"/>
    </row>
    <row r="22">
      <c r="A22" t="inlineStr">
        <is>
          <t>21</t>
        </is>
      </c>
      <c r="B22" t="inlineStr">
        <is>
          <t>Frontend (React UI)</t>
        </is>
      </c>
      <c r="C22" t="inlineStr">
        <is>
          <t>npm:prettier</t>
        </is>
      </c>
      <c r="D22" t="inlineStr">
        <is>
          <t>3.4.2</t>
        </is>
      </c>
      <c r="E22" t="inlineStr">
        <is>
          <t>MIT</t>
        </is>
      </c>
      <c r="F22" t="inlineStr"/>
    </row>
    <row r="23">
      <c r="A23" t="inlineStr">
        <is>
          <t>22</t>
        </is>
      </c>
      <c r="B23" t="inlineStr">
        <is>
          <t>Backend Dev Dependencies</t>
        </is>
      </c>
      <c r="C23" t="inlineStr">
        <is>
          <t>pypi:pytest</t>
        </is>
      </c>
      <c r="D23" t="inlineStr">
        <is>
          <t>8.3.3</t>
        </is>
      </c>
      <c r="E23" t="inlineStr">
        <is>
          <t>MIT</t>
        </is>
      </c>
      <c r="F23" t="inlineStr"/>
    </row>
    <row r="24">
      <c r="A24" t="inlineStr">
        <is>
          <t>23</t>
        </is>
      </c>
      <c r="B24" t="inlineStr">
        <is>
          <t>Backend Dev Dependencies</t>
        </is>
      </c>
      <c r="C24" t="inlineStr">
        <is>
          <t>pypi:pytest-asyncio</t>
        </is>
      </c>
      <c r="D24" t="inlineStr">
        <is>
          <t>1.2.0</t>
        </is>
      </c>
      <c r="E24" t="inlineStr">
        <is>
          <t>Apache-2.0</t>
        </is>
      </c>
      <c r="F24" t="inlineStr"/>
    </row>
    <row r="25">
      <c r="A25" t="inlineStr">
        <is>
          <t>24</t>
        </is>
      </c>
      <c r="B25" t="inlineStr">
        <is>
          <t>Backend Dev Dependencies</t>
        </is>
      </c>
      <c r="C25" t="inlineStr">
        <is>
          <t>pypi:reuse</t>
        </is>
      </c>
      <c r="D25" t="inlineStr">
        <is>
          <t>4.0.3</t>
        </is>
      </c>
      <c r="E25" t="inlineStr">
        <is>
          <t>Apache-2.0 AND CC0-1.0 AND CC-BY-SA-4.0 AND GPL-3.0-or-later</t>
        </is>
      </c>
      <c r="F25" t="inlineStr"/>
    </row>
    <row r="26">
      <c r="A26" t="inlineStr">
        <is>
          <t>25</t>
        </is>
      </c>
      <c r="B26" t="inlineStr">
        <is>
          <t>Backend Dev Dependencies</t>
        </is>
      </c>
      <c r="C26" t="inlineStr">
        <is>
          <t>pypi:ruff</t>
        </is>
      </c>
      <c r="D26" t="inlineStr">
        <is>
          <t>0.7.0</t>
        </is>
      </c>
      <c r="E26" t="inlineStr">
        <is>
          <t>MIT</t>
        </is>
      </c>
      <c r="F26" t="inlineStr"/>
    </row>
    <row r="27">
      <c r="A27" t="inlineStr">
        <is>
          <t>26</t>
        </is>
      </c>
      <c r="B27" t="inlineStr">
        <is>
          <t>Frontend (React UI)</t>
        </is>
      </c>
      <c r="C27" t="inlineStr">
        <is>
          <t>npm:typescript</t>
        </is>
      </c>
      <c r="D27" t="inlineStr">
        <is>
          <t>5.6.3</t>
        </is>
      </c>
      <c r="E27" t="inlineStr">
        <is>
          <t>Apache-2.0</t>
        </is>
      </c>
      <c r="F27" t="inlineStr"/>
    </row>
    <row r="28">
      <c r="A28" t="inlineStr">
        <is>
          <t>27</t>
        </is>
      </c>
      <c r="B28" t="inlineStr">
        <is>
          <t>Frontend (React UI)</t>
        </is>
      </c>
      <c r="C28" t="inlineStr">
        <is>
          <t>npm:vite</t>
        </is>
      </c>
      <c r="D28" t="inlineStr">
        <is>
          <t>6.0.3</t>
        </is>
      </c>
      <c r="E28" t="inlineStr">
        <is>
          <t>MIT</t>
        </is>
      </c>
      <c r="F28" t="inlineStr"/>
    </row>
    <row r="29">
      <c r="A29" t="inlineStr">
        <is>
          <t>28</t>
        </is>
      </c>
      <c r="B29" t="inlineStr">
        <is>
          <t>Frontend (React UI)</t>
        </is>
      </c>
      <c r="C29" t="inlineStr">
        <is>
          <t>npm:vitest</t>
        </is>
      </c>
      <c r="D29" t="inlineStr">
        <is>
          <t>2.1.5</t>
        </is>
      </c>
      <c r="E29" t="inlineStr">
        <is>
          <t>MIT</t>
        </is>
      </c>
      <c r="F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2025-11-19T10:00:51Z</dcterms:created>
  <dcterms:modified xsi:type="dcterms:W3CDTF">2025-11-19T11:10:31Z</dcterms:modified>
</cp:coreProperties>
</file>