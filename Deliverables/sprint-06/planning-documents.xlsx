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Burndown Chart" sheetId="11" r:id="rId13"/>
    <sheet state="visible" name="Final Project Release plan" sheetId="12" r:id="rId14"/>
    <sheet state="visible" name="Definition of Done" sheetId="13" r:id="rId15"/>
    <sheet state="visible" name="Documentation" sheetId="14" r:id="rId16"/>
    <sheet state="visible" name="Bill of Materials" sheetId="15" r:id="rId17"/>
    <sheet state="visible" name="Planning Poker" sheetId="16" r:id="rId18"/>
  </sheets>
  <definedNames>
    <definedName name="Average">'Velocity Tracking'!$B$17</definedName>
  </definedNames>
  <calcPr/>
</workbook>
</file>

<file path=xl/sharedStrings.xml><?xml version="1.0" encoding="utf-8"?>
<sst xmlns="http://schemas.openxmlformats.org/spreadsheetml/2006/main" count="451" uniqueCount="291">
  <si>
    <t>Project Name</t>
  </si>
  <si>
    <t>Robot Visual Perception</t>
  </si>
  <si>
    <t>Online team meeting</t>
  </si>
  <si>
    <t>https://fau.zoom-x.de/j/62836031488</t>
  </si>
  <si>
    <t>Production system (if any)</t>
  </si>
  <si>
    <t>Service Provided (later in the Project)</t>
  </si>
  <si>
    <t>Test system (if any)</t>
  </si>
  <si>
    <t>Local Webcam</t>
  </si>
  <si>
    <t>GitHub repository</t>
  </si>
  <si>
    <t>https://github.com/amosproj/amos2025ws04-robot-visual-perception</t>
  </si>
  <si>
    <t>GitHub feature board</t>
  </si>
  <si>
    <t>https://github.com/orgs/amosproj/projects/92</t>
  </si>
  <si>
    <t>GitHub imp-squared backlog</t>
  </si>
  <si>
    <t>https://github.com/orgs/amosproj/projects/95</t>
  </si>
  <si>
    <t>Team T-shirt (white)</t>
  </si>
  <si>
    <t>https://www.shirtinator.de/s/E_eIf-ElT4iidRVnqM8J5w</t>
  </si>
  <si>
    <t>Team T-shirt (black)</t>
  </si>
  <si>
    <t>https://www.shirtinator.de/s/R0CANDdWTRCOvCohq_encA</t>
  </si>
  <si>
    <t>Additional materials</t>
  </si>
  <si>
    <t>https://discord.gg/VDqD2Zfb</t>
  </si>
  <si>
    <t>Team maling list</t>
  </si>
  <si>
    <t>oss-amos-proj4@lists.fau.de</t>
  </si>
  <si>
    <r>
      <rPr>
        <rFont val="'Times New Roman',serif"/>
        <color rgb="FF1155CC"/>
        <sz val="11.0"/>
        <u/>
      </rPr>
      <t>https://happy-amos.appspot.com/</t>
    </r>
  </si>
  <si>
    <t>Please use our mailing list for written communication. Only CC teachers (university) and coaches on specific topics, as the mailing lists are very long.</t>
  </si>
  <si>
    <t>Last Name</t>
  </si>
  <si>
    <t>First Name</t>
  </si>
  <si>
    <t>GitHub User Name</t>
  </si>
  <si>
    <t>Email Address</t>
  </si>
  <si>
    <t>Hilgers</t>
  </si>
  <si>
    <t>Felix</t>
  </si>
  <si>
    <t>fhilgers</t>
  </si>
  <si>
    <t>felix.hilgers@fau.de</t>
  </si>
  <si>
    <t>Samdani</t>
  </si>
  <si>
    <t>Sarib</t>
  </si>
  <si>
    <t>saribx</t>
  </si>
  <si>
    <t>saribstudent@gmail.com</t>
  </si>
  <si>
    <t>Chinbat</t>
  </si>
  <si>
    <t>Anuun</t>
  </si>
  <si>
    <t>anuunchin</t>
  </si>
  <si>
    <r>
      <rPr>
        <color rgb="FF1155CC"/>
        <u/>
      </rPr>
      <t>anuun.ch</t>
    </r>
    <r>
      <rPr/>
      <t>@gmail.com</t>
    </r>
  </si>
  <si>
    <t>Goldschmidt</t>
  </si>
  <si>
    <t>Georgina</t>
  </si>
  <si>
    <t>bu31punu</t>
  </si>
  <si>
    <t>dzsini.lost@gmail.com</t>
  </si>
  <si>
    <t>Zinn</t>
  </si>
  <si>
    <t>Benedikt</t>
  </si>
  <si>
    <t>BenediktZinn</t>
  </si>
  <si>
    <t>benedikt.wh.zinn@gmail.com</t>
  </si>
  <si>
    <t>Badura</t>
  </si>
  <si>
    <t>Emil</t>
  </si>
  <si>
    <t>Tenebrae311</t>
  </si>
  <si>
    <t>badura@tu-berlin.de</t>
  </si>
  <si>
    <t>Assenbaum</t>
  </si>
  <si>
    <t>Paul</t>
  </si>
  <si>
    <t>Paul2607</t>
  </si>
  <si>
    <t>paul.assenbaum@fau.de</t>
  </si>
  <si>
    <t>Mantsch</t>
  </si>
  <si>
    <t>Christoph</t>
  </si>
  <si>
    <t>Christoph-Mantsch</t>
  </si>
  <si>
    <t>christoph.cm.mantsch@fau.de</t>
  </si>
  <si>
    <t>Asadi</t>
  </si>
  <si>
    <t>Zohreh</t>
  </si>
  <si>
    <t>zohrehasadi00</t>
  </si>
  <si>
    <t>z.asadi@campus.tu-berlin.de</t>
  </si>
  <si>
    <t>Product Owner</t>
  </si>
  <si>
    <t>#</t>
  </si>
  <si>
    <t>Meeting Day</t>
  </si>
  <si>
    <t>Review</t>
  </si>
  <si>
    <t>Planning</t>
  </si>
  <si>
    <t>Software Developer</t>
  </si>
  <si>
    <t>Release Manager</t>
  </si>
  <si>
    <t>Scrum Master</t>
  </si>
  <si>
    <t>Comment</t>
  </si>
  <si>
    <t>Felix Hilgers</t>
  </si>
  <si>
    <t>Benedikt Zinn</t>
  </si>
  <si>
    <t>Everyone else</t>
  </si>
  <si>
    <t>Paul Assenbaum</t>
  </si>
  <si>
    <t>Georgina Goldschmidt</t>
  </si>
  <si>
    <t>(Tuesday 21. Discord for Release process example)</t>
  </si>
  <si>
    <t>Anuun Chinbat</t>
  </si>
  <si>
    <t>Sarib Samdani</t>
  </si>
  <si>
    <t>Emil Badura</t>
  </si>
  <si>
    <t>Mid-term due</t>
  </si>
  <si>
    <t>Christoph Mantsch</t>
  </si>
  <si>
    <t>Zohreh Asadi</t>
  </si>
  <si>
    <t>Demo day!</t>
  </si>
  <si>
    <t>Retrospective</t>
  </si>
  <si>
    <t>Product owners, software developers, and Scurm Master are set and ideally don't change over time; the critical part is the Release Manager role you need to define here</t>
  </si>
  <si>
    <t>Goals</t>
  </si>
  <si>
    <t>Development of a visual perception system for robots with an accuracy of &gt;= 90%</t>
  </si>
  <si>
    <t>Meeting norms</t>
  </si>
  <si>
    <t xml:space="preserve">Zoom-Meetings in the meeting room of the university. 
Joining the meeting is mandatory, with exceptions (like sickness, etc.).
As an exception, showing up to 10 minutes late is fine if the team is informed via discord.
Happiness Index: has to be completed at the end of the meeting (amos happy).
Stand-up-mails: containing -&gt; things done, problems encountered, things up next.
 -&gt; For SDs: min 2x per week
 -&gt; For POs: min 1x per week
</t>
  </si>
  <si>
    <t>Working norms</t>
  </si>
  <si>
    <t>Issues on Github in the “Feature board” project of the repository.
Definition of Done: If specified in the issue that the feature has to be tested, tests have to be written for that feature, documented (in code or later in the wiki)
Git-branches:
The latest commit on the main-branch has to be tagged.
Only 2 “in progress” tickets per person at one time.</t>
  </si>
  <si>
    <t>Coordination norms</t>
  </si>
  <si>
    <t>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t>
  </si>
  <si>
    <t>Communication norms</t>
  </si>
  <si>
    <t xml:space="preserve">Developers can create issues but not put them onto the “Feature board”.
If blocked by a different task, discuss it as soon as possible.
Communication should happen via Discord &amp; mail. 
Criticism should be constructive. Language should be respectful at all times, both verbal and written communication.
</t>
  </si>
  <si>
    <t>Consideration norms</t>
  </si>
  <si>
    <t>Cont. improvement norms</t>
  </si>
  <si>
    <t>Rewards</t>
  </si>
  <si>
    <t>Online coffee or lunch meet at some point.</t>
  </si>
  <si>
    <t>Sanctions</t>
  </si>
  <si>
    <t>Document absence. Repeated absence is addressed with the missing person directly but will later be escalated to professors.</t>
  </si>
  <si>
    <t>Signatures</t>
  </si>
  <si>
    <t>Product owner</t>
  </si>
  <si>
    <t>Software developer</t>
  </si>
  <si>
    <t>Product Vision</t>
  </si>
  <si>
    <t>Project Mission</t>
  </si>
  <si>
    <t>Optibot helps people when operating robots equipped with a single camera.
It gives real-time distance estimates for known objects inside the field of view of said camera without relying on other sensors.
The software stack is easy to integrate with already existing WebRTC based systems, making it easy to enhance existing robot networks.</t>
  </si>
  <si>
    <t>The mission of this project is to create a containerized system that processes a WebRTC stream as an input and outputs a stream of metadata.
This metadata will contain the objects detected in a certain frame of the video stream, their bounding boxes in the image &amp; the estimated distance.
This information can be overlayed over the existing video stream in a React component. All components of the project have well definied interfaces and can easily be integrated into existing architectures.</t>
  </si>
  <si>
    <t>Term</t>
  </si>
  <si>
    <t>Definition</t>
  </si>
  <si>
    <t>Sprint #</t>
  </si>
  <si>
    <t>Sprint goal</t>
  </si>
  <si>
    <t>Meeting with industry partner and getting things started (and the T-shirt of course)</t>
  </si>
  <si>
    <t>Start work on individual components and research unclear topics</t>
  </si>
  <si>
    <t>Combining components into a first working prototype</t>
  </si>
  <si>
    <t>Refining prototype and splitting out components</t>
  </si>
  <si>
    <t>Finishing the Implementation of the Initial Architecture</t>
  </si>
  <si>
    <t>Refine component parts</t>
  </si>
  <si>
    <t>Improve Extensibility and Documentation</t>
  </si>
  <si>
    <t>Story Points Realized</t>
  </si>
  <si>
    <t>Average</t>
  </si>
  <si>
    <t>Sprint</t>
  </si>
  <si>
    <t>Goal</t>
  </si>
  <si>
    <t>Feature Name</t>
  </si>
  <si>
    <t>Est. size</t>
  </si>
  <si>
    <t>Est. remaining</t>
  </si>
  <si>
    <t>Real size</t>
  </si>
  <si>
    <t>Real remaining</t>
  </si>
  <si>
    <t>Release</t>
  </si>
  <si>
    <t>Total</t>
  </si>
  <si>
    <t>Sprints</t>
  </si>
  <si>
    <t>Estimated burn-down</t>
  </si>
  <si>
    <t>Real burn-down</t>
  </si>
  <si>
    <t>Features</t>
  </si>
  <si>
    <t>Setup Architecture</t>
  </si>
  <si>
    <t>Serve Webcam as WebRTC stream</t>
  </si>
  <si>
    <t>Setup Initial CI Pipeline</t>
  </si>
  <si>
    <t>Discuss Team Distribution Preferences</t>
  </si>
  <si>
    <t>Keep BOM up to date</t>
  </si>
  <si>
    <t>Setup REUSE licensing</t>
  </si>
  <si>
    <t>Update Architecture document</t>
  </si>
  <si>
    <t>Create Object Detection Example</t>
  </si>
  <si>
    <t>Prepare Build Process Review</t>
  </si>
  <si>
    <t>Prepare Depth Estimation</t>
  </si>
  <si>
    <t>Research Object and Depth Estimation</t>
  </si>
  <si>
    <t>Metadata Transport</t>
  </si>
  <si>
    <t>Split Backend Responsibilities</t>
  </si>
  <si>
    <t>Improve Code Quality</t>
  </si>
  <si>
    <t>Remove Redundant Calculations</t>
  </si>
  <si>
    <t>Utilize Library for detecting Object dimensions</t>
  </si>
  <si>
    <t>Create a React Video Component</t>
  </si>
  <si>
    <t>Investigate and Fix startup TIme</t>
  </si>
  <si>
    <t>Fix Windows Development setup</t>
  </si>
  <si>
    <t>Create a React Video Overlay</t>
  </si>
  <si>
    <t>Build Process Video</t>
  </si>
  <si>
    <t>Update Container Images</t>
  </si>
  <si>
    <t>Initialize Build/Deployment Documentation</t>
  </si>
  <si>
    <t>Initialize Technical Documentation</t>
  </si>
  <si>
    <t>Initialize User Facing Documentation</t>
  </si>
  <si>
    <t>React Metadata Widget</t>
  </si>
  <si>
    <t>Setup and Test analyzing with Cuda and Rocm</t>
  </si>
  <si>
    <t>Properly use CSS</t>
  </si>
  <si>
    <t>Reduce Inference Time</t>
  </si>
  <si>
    <t>Reduce Initial Connection Time</t>
  </si>
  <si>
    <t>Separate Model Loading</t>
  </si>
  <si>
    <t>Automate SBOM Generation</t>
  </si>
  <si>
    <t>Setup Docker Compose</t>
  </si>
  <si>
    <t>Use Metadata in the Frontend for Drawing the Overlay</t>
  </si>
  <si>
    <t>Create Initial Video Router / Dispatching Service</t>
  </si>
  <si>
    <t>Separate Model Downloading from Running</t>
  </si>
  <si>
    <t>...</t>
  </si>
  <si>
    <t>PLEASE CREATE THE BURNDOWN CHART ON A NEW TAB USING THE DATA FROM THIS TAB</t>
  </si>
  <si>
    <t>Feature Definition of Done</t>
  </si>
  <si>
    <t>Sprint Release Definition of Done</t>
  </si>
  <si>
    <t>Project Release Definition of Done</t>
  </si>
  <si>
    <t>Code has been reviewed by at least one SD</t>
  </si>
  <si>
    <t>All Software Components are functioning</t>
  </si>
  <si>
    <t>Architecture documentation has been updated</t>
  </si>
  <si>
    <t>Feature has been reviewed by at least one PO</t>
  </si>
  <si>
    <t>Sprint release notes have been generated from all merge-requests since the last release</t>
  </si>
  <si>
    <t>Tests exist for all mayor features</t>
  </si>
  <si>
    <t>Build scripts have been adapted if necessary</t>
  </si>
  <si>
    <t>All container communication is working</t>
  </si>
  <si>
    <t>All tests are passing</t>
  </si>
  <si>
    <t>CI Pipeline Passes</t>
  </si>
  <si>
    <t>Code has been merged to main</t>
  </si>
  <si>
    <t>BOM has been updated if necessary</t>
  </si>
  <si>
    <t>Type</t>
  </si>
  <si>
    <t>Link / reference</t>
  </si>
  <si>
    <t>Context</t>
  </si>
  <si>
    <t>Name</t>
  </si>
  <si>
    <t>Version</t>
  </si>
  <si>
    <t>License</t>
  </si>
  <si>
    <t>Frontend (React UI)</t>
  </si>
  <si>
    <t>npm:react</t>
  </si>
  <si>
    <t>18.3.1</t>
  </si>
  <si>
    <t>MIT</t>
  </si>
  <si>
    <t>npm:react-dom</t>
  </si>
  <si>
    <t>Backend (FastAPI API)</t>
  </si>
  <si>
    <t>pypi:aioice</t>
  </si>
  <si>
    <t>0.10.1</t>
  </si>
  <si>
    <t>BSD-3-Clause</t>
  </si>
  <si>
    <t>pypi:aiortc</t>
  </si>
  <si>
    <t>1.14.0</t>
  </si>
  <si>
    <t>pypi:av</t>
  </si>
  <si>
    <t>16.0.1</t>
  </si>
  <si>
    <t>pypi:fastapi</t>
  </si>
  <si>
    <t>0.115.10</t>
  </si>
  <si>
    <t>pypi:httpx</t>
  </si>
  <si>
    <t>0.27.2</t>
  </si>
  <si>
    <t>BSD License</t>
  </si>
  <si>
    <t>pypi:numpy</t>
  </si>
  <si>
    <t>1.26.4</t>
  </si>
  <si>
    <t>pypi:onnx</t>
  </si>
  <si>
    <t>1.19.1</t>
  </si>
  <si>
    <t>Apache License v2.0</t>
  </si>
  <si>
    <t>pypi:onnxruntime</t>
  </si>
  <si>
    <t>1.20.1</t>
  </si>
  <si>
    <t>MIT License</t>
  </si>
  <si>
    <t>pypi:onnxruntime-gpu</t>
  </si>
  <si>
    <t>1.23.2</t>
  </si>
  <si>
    <t>pypi:onnxscript</t>
  </si>
  <si>
    <t>0.5.6</t>
  </si>
  <si>
    <t>pypi:onnxslim</t>
  </si>
  <si>
    <t>0.1.75</t>
  </si>
  <si>
    <t>pypi:opencv-python</t>
  </si>
  <si>
    <t>4.9.0.80</t>
  </si>
  <si>
    <t>Apache 2.0</t>
  </si>
  <si>
    <t>pypi:pydantic</t>
  </si>
  <si>
    <t>2.12.3</t>
  </si>
  <si>
    <t>pypi:timm</t>
  </si>
  <si>
    <t>1.0.22</t>
  </si>
  <si>
    <t>Apache-2.0</t>
  </si>
  <si>
    <t>pypi:ultralytics</t>
  </si>
  <si>
    <t>8.3.58</t>
  </si>
  <si>
    <t>AGPL-3.0</t>
  </si>
  <si>
    <t>pypi:uvicorn</t>
  </si>
  <si>
    <t>0.38.0</t>
  </si>
  <si>
    <t>npm:@types/react</t>
  </si>
  <si>
    <t>18.3.12</t>
  </si>
  <si>
    <t>npm:@types/react-dom</t>
  </si>
  <si>
    <t>npm:@typescript-eslint/eslint-plugin</t>
  </si>
  <si>
    <t>8.16.0</t>
  </si>
  <si>
    <t>npm:@typescript-eslint/parser</t>
  </si>
  <si>
    <t>BSD-2-Clause</t>
  </si>
  <si>
    <t>npm:@vitejs/plugin-react</t>
  </si>
  <si>
    <t>4.3.4</t>
  </si>
  <si>
    <t>npm:autoprefixer</t>
  </si>
  <si>
    <t>10.4.22</t>
  </si>
  <si>
    <t>npm:eslint</t>
  </si>
  <si>
    <t>9.17.0</t>
  </si>
  <si>
    <t>Backend Dev Dependencies</t>
  </si>
  <si>
    <t>pypi:mypy</t>
  </si>
  <si>
    <t>1.13.0</t>
  </si>
  <si>
    <t>npm:postcss</t>
  </si>
  <si>
    <t>8.5.6</t>
  </si>
  <si>
    <t>npm:prettier</t>
  </si>
  <si>
    <t>3.4.2</t>
  </si>
  <si>
    <t>pypi:pytest</t>
  </si>
  <si>
    <t>8.3.3</t>
  </si>
  <si>
    <t>pypi:pytest-asyncio</t>
  </si>
  <si>
    <t>1.2.0</t>
  </si>
  <si>
    <t>pypi:reuse</t>
  </si>
  <si>
    <t>4.0.3</t>
  </si>
  <si>
    <t>Apache-2.0 AND CC0-1.0 AND CC-BY-SA-4.0 AND GPL-3.0-or-later</t>
  </si>
  <si>
    <t>pypi:ruff</t>
  </si>
  <si>
    <t>0.7.0</t>
  </si>
  <si>
    <t>npm:tailwindcss</t>
  </si>
  <si>
    <t>3.4.16</t>
  </si>
  <si>
    <t>npm:typescript</t>
  </si>
  <si>
    <t>5.6.3</t>
  </si>
  <si>
    <t>npm:vite</t>
  </si>
  <si>
    <t>6.0.3</t>
  </si>
  <si>
    <t>npm:vitest</t>
  </si>
  <si>
    <t>2.1.5</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</si>
  <si>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</si>
  <si>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</si>
  <si>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</si>
  <si>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</si>
  <si>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</si>
  <si>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</si>
  <si>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</si>
  <si>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</si>
  <si>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</si>
  <si>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</si>
  <si>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</si>
  <si>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</si>
  <si>
    <t>no cap yet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</si>
</sst>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1">
    <font>
      <sz val="10.0"/>
      <color rgb="FF000000"/>
      <name val="Arial"/>
    </font>
    <font>
      <b/>
    </font>
    <font/>
    <font>
      <u/>
      <color rgb="FF0000FF"/>
    </font>
    <font>
      <u/>
      <color rgb="FF0000FF"/>
    </font>
    <font>
      <u/>
      <color rgb="FF0000FF"/>
    </font>
    <font>
      <u/>
      <color rgb="FF0000FF"/>
    </font>
    <font>
      <b/>
      <name val="Arial"/>
    </font>
    <font>
      <name val="Arial"/>
    </font>
    <font>
      <color rgb="FFFFFFFF"/>
      <name val="Arial"/>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1">
    <border/>
  </borders>
  <cellStyleXfs count="1">
    <xf borderId="0" fillId="0" fontId="0" numFmtId="0" applyAlignment="1" applyFont="1"/>
  </cellStyleXfs>
  <cellXfs count="11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4" numFmtId="0" xfId="0" applyAlignment="1" applyFont="1">
      <alignment readingOrder="0" shrinkToFit="0" wrapText="1"/>
    </xf>
    <xf borderId="0" fillId="0" fontId="5"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6"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shrinkToFit="0" wrapText="0"/>
    </xf>
    <xf borderId="0" fillId="0" fontId="1"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0" xfId="0" applyAlignment="1" applyFont="1">
      <alignment horizontal="left" readingOrder="0" shrinkToFit="0" wrapText="0"/>
    </xf>
    <xf borderId="0" fillId="0" fontId="2" numFmtId="164" xfId="0" applyAlignment="1" applyFont="1" applyNumberFormat="1">
      <alignment shrinkToFit="0" wrapText="0"/>
    </xf>
    <xf borderId="0" fillId="0" fontId="2" numFmtId="165" xfId="0" applyAlignment="1" applyFont="1" applyNumberForma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3" fontId="7" numFmtId="0" xfId="0" applyAlignment="1" applyFill="1" applyFont="1">
      <alignment shrinkToFit="0" vertical="bottom" wrapText="1"/>
    </xf>
    <xf borderId="0" fillId="3" fontId="8" numFmtId="0" xfId="0" applyAlignment="1" applyFont="1">
      <alignment readingOrder="0" shrinkToFit="0" vertical="bottom" wrapText="1"/>
    </xf>
    <xf borderId="0" fillId="4" fontId="8" numFmtId="0" xfId="0" applyAlignment="1" applyFill="1" applyFont="1">
      <alignment shrinkToFit="0" vertical="bottom" wrapText="1"/>
    </xf>
    <xf borderId="0" fillId="4" fontId="8" numFmtId="0" xfId="0" applyAlignment="1" applyFont="1">
      <alignment shrinkToFit="0" vertical="bottom" wrapText="1"/>
    </xf>
    <xf borderId="0" fillId="3" fontId="7" numFmtId="0" xfId="0" applyAlignment="1" applyFont="1">
      <alignment readingOrder="0" shrinkToFit="0" vertical="bottom" wrapText="1"/>
    </xf>
    <xf borderId="0" fillId="3" fontId="8" numFmtId="0" xfId="0" applyAlignment="1" applyFont="1">
      <alignment shrinkToFit="0" vertical="bottom" wrapText="1"/>
    </xf>
    <xf borderId="0" fillId="3" fontId="7" numFmtId="0" xfId="0" applyAlignment="1" applyFont="1">
      <alignment shrinkToFit="0" vertical="bottom" wrapText="1"/>
    </xf>
    <xf borderId="0" fillId="0" fontId="2" numFmtId="0" xfId="0" applyAlignment="1" applyFont="1">
      <alignment shrinkToFit="0" wrapText="1"/>
    </xf>
    <xf borderId="0" fillId="0" fontId="2" numFmtId="0" xfId="0" applyAlignment="1" applyFont="1">
      <alignment readingOrder="0" shrinkToFit="0" wrapText="1"/>
    </xf>
    <xf borderId="0" fillId="2" fontId="1" numFmtId="0" xfId="0" applyAlignment="1" applyFont="1">
      <alignment readingOrder="0" shrinkToFit="0" wrapText="1"/>
    </xf>
    <xf borderId="0" fillId="3" fontId="2" numFmtId="0" xfId="0" applyAlignment="1" applyFont="1">
      <alignment shrinkToFit="0" wrapText="1"/>
    </xf>
    <xf borderId="0" fillId="3" fontId="2" numFmtId="0" xfId="0" applyAlignment="1" applyFont="1">
      <alignment readingOrder="0" shrinkToFit="0" wrapText="1"/>
    </xf>
    <xf borderId="0" fillId="4" fontId="8" numFmtId="0" xfId="0" applyAlignment="1" applyFont="1">
      <alignment readingOrder="0" shrinkToFit="0" vertical="top" wrapText="1"/>
    </xf>
    <xf borderId="0" fillId="0" fontId="1" numFmtId="0" xfId="0" applyAlignment="1" applyFont="1">
      <alignment shrinkToFit="0"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0" fontId="1" numFmtId="0" xfId="0" applyAlignment="1" applyFont="1">
      <alignment readingOrder="0" shrinkToFit="0" wrapText="1"/>
    </xf>
    <xf borderId="0" fillId="5" fontId="1" numFmtId="0" xfId="0" applyAlignment="1" applyFill="1" applyFont="1">
      <alignment readingOrder="0" shrinkToFit="0" wrapText="1"/>
    </xf>
    <xf borderId="0" fillId="2" fontId="7" numFmtId="0" xfId="0" applyAlignment="1" applyFont="1">
      <alignment horizontal="left" shrinkToFit="0" vertical="bottom" wrapText="1"/>
    </xf>
    <xf borderId="0" fillId="2" fontId="7" numFmtId="0" xfId="0" applyAlignment="1" applyFont="1">
      <alignment shrinkToFit="0" vertical="bottom" wrapText="0"/>
    </xf>
    <xf borderId="0" fillId="2" fontId="7" numFmtId="0" xfId="0" applyAlignment="1" applyFont="1">
      <alignment shrinkToFit="0" vertical="bottom" wrapText="0"/>
    </xf>
    <xf borderId="0" fillId="2" fontId="7" numFmtId="0" xfId="0" applyAlignment="1" applyFont="1">
      <alignment horizontal="center" readingOrder="0" shrinkToFit="0" vertical="bottom" wrapText="1"/>
    </xf>
    <xf borderId="0" fillId="3" fontId="8" numFmtId="0" xfId="0" applyAlignment="1" applyFont="1">
      <alignment horizontal="left" shrinkToFit="0" vertical="bottom" wrapText="1"/>
    </xf>
    <xf borderId="0" fillId="3" fontId="8" numFmtId="0" xfId="0" applyAlignment="1" applyFont="1">
      <alignment shrinkToFit="0" vertical="bottom" wrapText="0"/>
    </xf>
    <xf borderId="0" fillId="6" fontId="7" numFmtId="0" xfId="0" applyAlignment="1" applyFill="1" applyFont="1">
      <alignment horizontal="left" shrinkToFit="0" vertical="bottom" wrapText="0"/>
    </xf>
    <xf borderId="0" fillId="6" fontId="8" numFmtId="0" xfId="0" applyAlignment="1" applyFont="1">
      <alignment shrinkToFit="0" vertical="bottom" wrapText="0"/>
    </xf>
    <xf borderId="0" fillId="6" fontId="8" numFmtId="0" xfId="0" applyAlignment="1" applyFont="1">
      <alignment shrinkToFit="0" vertical="bottom" wrapText="1"/>
    </xf>
    <xf borderId="0" fillId="4" fontId="7" numFmtId="0" xfId="0" applyAlignment="1" applyFont="1">
      <alignment shrinkToFit="0" vertical="bottom" wrapText="0"/>
    </xf>
    <xf borderId="0" fillId="0" fontId="2" numFmtId="0" xfId="0" applyAlignment="1" applyFont="1">
      <alignment shrinkToFit="0" wrapText="0"/>
    </xf>
    <xf borderId="0" fillId="4" fontId="8" numFmtId="0" xfId="0" applyAlignment="1" applyFont="1">
      <alignment horizontal="right" shrinkToFit="0" vertical="bottom" wrapText="0"/>
    </xf>
    <xf borderId="0" fillId="7" fontId="7" numFmtId="0" xfId="0" applyAlignment="1" applyFill="1" applyFont="1">
      <alignment horizontal="left" shrinkToFit="0" vertical="bottom" wrapText="0"/>
    </xf>
    <xf borderId="0" fillId="7" fontId="7" numFmtId="0" xfId="0" applyAlignment="1" applyFont="1">
      <alignment shrinkToFit="0" vertical="bottom" wrapText="0"/>
    </xf>
    <xf borderId="0" fillId="7" fontId="8" numFmtId="0" xfId="0" applyAlignment="1" applyFont="1">
      <alignment shrinkToFit="0" vertical="bottom" wrapText="1"/>
    </xf>
    <xf borderId="0" fillId="3" fontId="9" numFmtId="0" xfId="0" applyAlignment="1" applyFont="1">
      <alignment horizontal="center" shrinkToFit="0" vertical="bottom" wrapText="0"/>
    </xf>
    <xf borderId="0" fillId="4" fontId="8" numFmtId="0" xfId="0" applyAlignment="1" applyFont="1">
      <alignment horizontal="left" shrinkToFit="0" vertical="bottom" wrapText="1"/>
    </xf>
    <xf borderId="0" fillId="4" fontId="7" numFmtId="0" xfId="0" applyAlignment="1" applyFont="1">
      <alignment readingOrder="0" shrinkToFit="0" vertical="bottom" wrapText="0"/>
    </xf>
    <xf borderId="0" fillId="0" fontId="7" numFmtId="0" xfId="0" applyAlignment="1" applyFont="1">
      <alignment readingOrder="0" shrinkToFit="0" vertical="bottom" wrapText="0"/>
    </xf>
    <xf borderId="0" fillId="3" fontId="8" numFmtId="0" xfId="0" applyAlignment="1" applyFont="1">
      <alignment horizontal="right" shrinkToFit="0" vertical="bottom" wrapText="0"/>
    </xf>
    <xf borderId="0" fillId="8" fontId="7" numFmtId="0" xfId="0" applyAlignment="1" applyFill="1" applyFont="1">
      <alignment horizontal="left" shrinkToFit="0" vertical="bottom" wrapText="0"/>
    </xf>
    <xf borderId="0" fillId="8" fontId="7" numFmtId="0" xfId="0" applyAlignment="1" applyFont="1">
      <alignment shrinkToFit="0" vertical="bottom" wrapText="0"/>
    </xf>
    <xf borderId="0" fillId="8" fontId="8" numFmtId="0" xfId="0" applyAlignment="1" applyFont="1">
      <alignment shrinkToFit="0" vertical="bottom" wrapText="1"/>
    </xf>
    <xf borderId="0" fillId="3" fontId="7" numFmtId="0" xfId="0" applyAlignment="1" applyFont="1">
      <alignment horizontal="left" shrinkToFit="0" vertical="bottom" wrapText="0"/>
    </xf>
    <xf borderId="0" fillId="3" fontId="7" numFmtId="0" xfId="0" applyAlignment="1" applyFont="1">
      <alignment shrinkToFit="0" vertical="bottom" wrapText="0"/>
    </xf>
    <xf borderId="0" fillId="4" fontId="8" numFmtId="0" xfId="0" applyAlignment="1" applyFont="1">
      <alignment shrinkToFit="0" vertical="bottom" wrapText="0"/>
    </xf>
    <xf borderId="0" fillId="4" fontId="8" numFmtId="0" xfId="0" applyAlignment="1" applyFont="1">
      <alignment readingOrder="0" shrinkToFit="0" vertical="bottom" wrapText="1"/>
    </xf>
    <xf borderId="0" fillId="3" fontId="8" numFmtId="0" xfId="0" applyAlignment="1" applyFont="1">
      <alignment horizontal="left" shrinkToFit="0" vertical="bottom" wrapText="1"/>
    </xf>
    <xf borderId="0" fillId="3" fontId="8" numFmtId="0" xfId="0" applyAlignment="1" applyFont="1">
      <alignment shrinkToFit="0" vertical="bottom" wrapText="0"/>
    </xf>
    <xf borderId="0" fillId="3" fontId="8" numFmtId="0" xfId="0" applyAlignment="1" applyFont="1">
      <alignment readingOrder="0" shrinkToFit="0" vertical="bottom" wrapText="0"/>
    </xf>
    <xf borderId="0" fillId="3" fontId="8" numFmtId="0" xfId="0" applyAlignment="1" applyFont="1">
      <alignment horizontal="right" readingOrder="0" shrinkToFit="0" vertical="bottom" wrapText="0"/>
    </xf>
    <xf borderId="0" fillId="4" fontId="8" numFmtId="0" xfId="0" applyAlignment="1" applyFont="1">
      <alignment horizontal="right" readingOrder="0" shrinkToFit="0" vertical="bottom" wrapText="0"/>
    </xf>
    <xf borderId="0" fillId="0" fontId="2" numFmtId="0" xfId="0" applyAlignment="1" applyFont="1">
      <alignment readingOrder="0" shrinkToFit="0" wrapText="0"/>
    </xf>
    <xf borderId="0" fillId="3" fontId="8" numFmtId="0" xfId="0" applyAlignment="1" applyFont="1">
      <alignment horizontal="left" readingOrder="0" shrinkToFit="0" vertical="bottom" wrapText="1"/>
    </xf>
    <xf borderId="0" fillId="2" fontId="7" numFmtId="0" xfId="0" applyAlignment="1" applyFont="1">
      <alignment shrinkToFit="0" vertical="bottom" wrapText="1"/>
    </xf>
    <xf borderId="0" fillId="7" fontId="7" numFmtId="0" xfId="0" applyAlignment="1" applyFont="1">
      <alignment shrinkToFit="0" vertical="bottom" wrapText="0"/>
    </xf>
    <xf borderId="0" fillId="3" fontId="8" numFmtId="0" xfId="0" applyAlignment="1" applyFont="1">
      <alignment shrinkToFit="0" vertical="bottom" wrapText="1"/>
    </xf>
    <xf borderId="0" fillId="3" fontId="8" numFmtId="0" xfId="0" applyAlignment="1" applyFont="1">
      <alignment horizontal="right" shrinkToFit="0" vertical="bottom" wrapText="0"/>
    </xf>
    <xf borderId="0" fillId="5" fontId="1" numFmtId="0" xfId="0" applyAlignment="1" applyFont="1">
      <alignment readingOrder="0" shrinkToFit="0" wrapText="0"/>
    </xf>
    <xf borderId="0" fillId="2" fontId="7" numFmtId="0" xfId="0" applyAlignment="1" applyFont="1">
      <alignment shrinkToFit="0" vertical="bottom" wrapText="1"/>
    </xf>
    <xf borderId="0" fillId="2" fontId="7" numFmtId="0" xfId="0" applyAlignment="1" applyFont="1">
      <alignment readingOrder="0" shrinkToFit="0" vertical="bottom" wrapText="0"/>
    </xf>
    <xf borderId="0" fillId="2" fontId="7" numFmtId="0" xfId="0" applyAlignment="1" applyFont="1">
      <alignment shrinkToFit="0" vertical="center" wrapText="1"/>
    </xf>
    <xf borderId="0" fillId="2" fontId="7" numFmtId="0" xfId="0" applyAlignment="1" applyFont="1">
      <alignment horizontal="center" shrinkToFit="0" vertical="center" wrapText="1"/>
    </xf>
    <xf borderId="0" fillId="2" fontId="7" numFmtId="4" xfId="0" applyAlignment="1" applyFont="1" applyNumberFormat="1">
      <alignment shrinkToFit="0" vertical="center" wrapText="1"/>
    </xf>
    <xf borderId="0" fillId="2" fontId="8" numFmtId="4" xfId="0" applyAlignment="1" applyFont="1" applyNumberFormat="1">
      <alignment shrinkToFit="0" vertical="center" wrapText="1"/>
    </xf>
    <xf borderId="0" fillId="2" fontId="8" numFmtId="0" xfId="0" applyAlignment="1" applyFont="1">
      <alignment shrinkToFit="0" vertical="center" wrapText="1"/>
    </xf>
    <xf borderId="0" fillId="2" fontId="1" numFmtId="0" xfId="0" applyAlignment="1" applyFont="1">
      <alignment shrinkToFit="0" vertical="center" wrapText="1"/>
    </xf>
    <xf borderId="0" fillId="3" fontId="7" numFmtId="0" xfId="0" applyAlignment="1" applyFont="1">
      <alignment shrinkToFit="0" vertical="center" wrapText="1"/>
    </xf>
    <xf borderId="0" fillId="3" fontId="8" numFmtId="0" xfId="0" applyAlignment="1" applyFont="1">
      <alignment horizontal="center" readingOrder="0" shrinkToFit="0" vertical="center" wrapText="1"/>
    </xf>
    <xf borderId="0" fillId="3" fontId="8" numFmtId="4" xfId="0" applyAlignment="1" applyFont="1" applyNumberFormat="1">
      <alignment shrinkToFit="0" vertical="center" wrapText="1"/>
    </xf>
    <xf borderId="0" fillId="8" fontId="10" numFmtId="4" xfId="0" applyAlignment="1" applyFont="1" applyNumberFormat="1">
      <alignment horizontal="center" shrinkToFit="0" vertical="center" wrapText="1"/>
    </xf>
    <xf borderId="0" fillId="8" fontId="10" numFmtId="0" xfId="0" applyAlignment="1" applyFont="1">
      <alignment horizontal="center" shrinkToFit="0" vertical="center" wrapText="1"/>
    </xf>
    <xf borderId="0" fillId="3" fontId="2" numFmtId="0" xfId="0" applyAlignment="1" applyFont="1">
      <alignment shrinkToFit="0" vertical="center" wrapText="1"/>
    </xf>
    <xf borderId="0" fillId="4" fontId="7" numFmtId="0" xfId="0" applyAlignment="1" applyFont="1">
      <alignment shrinkToFit="0" vertical="center" wrapText="1"/>
    </xf>
    <xf borderId="0" fillId="4" fontId="8" numFmtId="0" xfId="0" applyAlignment="1" applyFont="1">
      <alignment horizontal="center" readingOrder="0" shrinkToFit="0" vertical="center" wrapText="1"/>
    </xf>
    <xf borderId="0" fillId="4" fontId="8" numFmtId="4" xfId="0" applyAlignment="1" applyFont="1" applyNumberFormat="1">
      <alignment shrinkToFit="0" vertical="center" wrapText="1"/>
    </xf>
    <xf borderId="0" fillId="4" fontId="2" numFmtId="0" xfId="0" applyAlignment="1" applyFont="1">
      <alignment shrinkToFit="0" vertical="center" wrapText="1"/>
    </xf>
    <xf borderId="0" fillId="5" fontId="8" numFmtId="0" xfId="0" applyAlignment="1" applyFont="1">
      <alignment horizontal="center" readingOrder="0" shrinkToFit="0" vertical="center" wrapText="1"/>
    </xf>
    <xf borderId="0" fillId="4" fontId="8" numFmtId="0" xfId="0" applyAlignment="1" applyFont="1">
      <alignment shrinkToFit="0" vertical="center" wrapText="1"/>
    </xf>
    <xf borderId="0" fillId="3" fontId="8" numFmtId="0" xfId="0" applyAlignment="1" applyFont="1">
      <alignment shrinkToFit="0" vertical="center" wrapText="1"/>
    </xf>
    <xf borderId="0" fillId="7" fontId="8" numFmtId="0" xfId="0" applyAlignment="1" applyFont="1">
      <alignment horizontal="center" shrinkToFit="0" vertical="center" wrapText="1"/>
    </xf>
    <xf borderId="0" fillId="7" fontId="8" numFmtId="0" xfId="0" applyAlignment="1" applyFont="1">
      <alignment readingOrder="0" shrinkToFit="0" vertical="center" wrapText="1"/>
    </xf>
    <xf borderId="0" fillId="4" fontId="7" numFmtId="0" xfId="0" applyAlignment="1" applyFont="1">
      <alignment readingOrder="0" shrinkToFit="0" vertical="center" wrapText="1"/>
    </xf>
    <xf borderId="0" fillId="3" fontId="7" numFmtId="0" xfId="0" applyAlignment="1" applyFont="1">
      <alignment readingOrder="0" shrinkToFit="0" vertical="center" wrapText="1"/>
    </xf>
    <xf borderId="0" fillId="3" fontId="8" numFmtId="0" xfId="0" applyAlignment="1" applyFont="1">
      <alignment horizontal="center" shrinkToFit="0" vertical="center" wrapText="1"/>
    </xf>
    <xf borderId="0" fillId="3" fontId="1" numFmtId="0" xfId="0" applyAlignment="1" applyFont="1">
      <alignment shrinkToFit="0" wrapText="0"/>
    </xf>
    <xf borderId="0" fillId="3" fontId="1"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readingOrder="0"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Burndown Chart-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Velocity Chart</a:t>
            </a:r>
          </a:p>
        </c:rich>
      </c:tx>
      <c:overlay val="0"/>
    </c:title>
    <c:plotArea>
      <c:layout/>
      <c:barChart>
        <c:barDir val="col"/>
        <c:grouping val="stacked"/>
        <c:ser>
          <c:idx val="0"/>
          <c:order val="0"/>
          <c:tx>
            <c:strRef>
              <c:f>'Velocity Tracking'!$B$1</c:f>
            </c:strRef>
          </c:tx>
          <c:spPr>
            <a:solidFill>
              <a:srgbClr val="4285F4"/>
            </a:solidFill>
            <a:ln cmpd="sng">
              <a:solidFill>
                <a:srgbClr val="000000"/>
              </a:solidFill>
            </a:ln>
          </c:spPr>
          <c:cat>
            <c:strRef>
              <c:f>'Velocity Tracking'!$A$2:$A$16</c:f>
            </c:strRef>
          </c:cat>
          <c:val>
            <c:numRef>
              <c:f>'Velocity Tracking'!$B$2:$B$16</c:f>
              <c:numCache/>
            </c:numRef>
          </c:val>
        </c:ser>
        <c:overlap val="100"/>
        <c:axId val="881056160"/>
        <c:axId val="102694460"/>
      </c:barChart>
      <c:lineChart>
        <c:varyColors val="0"/>
        <c:ser>
          <c:idx val="1"/>
          <c:order val="1"/>
          <c:tx>
            <c:strRef>
              <c:f>'Velocity Chart'!$A$1</c:f>
            </c:strRef>
          </c:tx>
          <c:spPr>
            <a:ln cmpd="sng">
              <a:solidFill>
                <a:srgbClr val="DB4437"/>
              </a:solidFill>
            </a:ln>
          </c:spPr>
          <c:marker>
            <c:symbol val="none"/>
          </c:marker>
          <c:dPt>
            <c:idx val="14"/>
            <c:marker>
              <c:symbol val="none"/>
            </c:marker>
          </c:dPt>
          <c:cat>
            <c:strRef>
              <c:f>'Velocity Tracking'!$A$2:$A$16</c:f>
            </c:strRef>
          </c:cat>
          <c:val>
            <c:numRef>
              <c:f>'Velocity Chart'!$A$2:$A$16</c:f>
              <c:numCache/>
            </c:numRef>
          </c:val>
          <c:smooth val="0"/>
        </c:ser>
        <c:axId val="881056160"/>
        <c:axId val="102694460"/>
      </c:lineChart>
      <c:catAx>
        <c:axId val="88105616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02694460"/>
      </c:catAx>
      <c:valAx>
        <c:axId val="1026944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881056160"/>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Burndown Chart</a:t>
            </a:r>
          </a:p>
        </c:rich>
      </c:tx>
      <c:overlay val="0"/>
    </c:title>
    <c:plotArea>
      <c:layout/>
      <c:barChart>
        <c:barDir val="col"/>
        <c:ser>
          <c:idx val="0"/>
          <c:order val="0"/>
          <c:tx>
            <c:v>Estimated Size</c:v>
          </c:tx>
          <c:spPr>
            <a:solidFill>
              <a:srgbClr val="4285F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'Mid-Project Release plan'!$A$9:$A$14</c:f>
            </c:strRef>
          </c:cat>
          <c:val>
            <c:numRef>
              <c:f>'Mid-Project Release plan'!$E$9:$E$14</c:f>
              <c:numCache/>
            </c:numRef>
          </c:val>
        </c:ser>
        <c:ser>
          <c:idx val="1"/>
          <c:order val="1"/>
          <c:tx>
            <c:v>Real Size</c:v>
          </c:tx>
          <c:spPr>
            <a:solidFill>
              <a:srgbClr val="DB4437"/>
            </a:solidFill>
            <a:ln cmpd="sng">
              <a:solidFill>
                <a:srgbClr val="000000"/>
              </a:solidFill>
            </a:ln>
          </c:spPr>
          <c:trendline>
            <c:name>Development Speed</c:name>
            <c:spPr>
              <a:ln w="19050">
                <a:solidFill>
                  <a:srgbClr val="000000"/>
                </a:solidFill>
              </a:ln>
            </c:spPr>
            <c:trendlineType val="linear"/>
            <c:dispRSqr val="0"/>
            <c:dispEq val="0"/>
          </c:trendline>
          <c:cat>
            <c:strRef>
              <c:f>'Mid-Project Release plan'!$A$9:$A$14</c:f>
            </c:strRef>
          </c:cat>
          <c:val>
            <c:numRef>
              <c:f>'Mid-Project Release plan'!$E$9:$E$14</c:f>
              <c:numCache/>
            </c:numRef>
          </c:val>
        </c:ser>
        <c:axId val="1346368680"/>
        <c:axId val="2130667854"/>
      </c:barChart>
      <c:catAx>
        <c:axId val="1346368680"/>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2130667854"/>
      </c:catAx>
      <c:valAx>
        <c:axId val="21306678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346368680"/>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0372725" cy="63436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9496425" cy="58578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obot Visual Perception"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Development of a visual perception system for robots with an accuracy of &gt;= 90%"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72"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headerRowCount="0" ref="A1:A36" displayName="Table_9" name="Table_9" id="9">
  <tableColumns count="1">
    <tableColumn name="Column1" id="1"/>
  </tableColumns>
  <tableStyleInfo name="Burndown Chart-style" showColumnStripes="0" showFirstColumn="1" showLastColumn="1" showRowStripes="1"/>
  <extLst>
    <ext uri="GoogleSheetsCustomDataVersion1">
      <go:sheetsCustomData xmlns:go="http://customooxmlschemas.google.com/" headerRowCount="1"/>
    </ext>
  </extLst>
</table>
</file>

<file path=xl/tables/table10.xml><?xml version="1.0" encoding="utf-8"?>
<table xmlns="http://schemas.openxmlformats.org/spreadsheetml/2006/main" ref="A1:G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0"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ref="A1:F3" displayName="Table_13" name="Table_13" id="13">
  <tableColumns count="6">
    <tableColumn name="#" id="1"/>
    <tableColumn name="Context" id="2"/>
    <tableColumn name="Name" id="3"/>
    <tableColumn name="Version" id="4"/>
    <tableColumn name="License" id="5"/>
    <tableColumn name="Comment" id="6"/>
  </tableColumns>
  <tableStyleInfo name="Bill of Materials-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fau.zoom-x.de/j/62836031488" TargetMode="External"/><Relationship Id="rId2" Type="http://schemas.openxmlformats.org/officeDocument/2006/relationships/hyperlink" Target="https://github.com/amosproj/amos2025ws04-robot-visual-perception" TargetMode="External"/><Relationship Id="rId3" Type="http://schemas.openxmlformats.org/officeDocument/2006/relationships/hyperlink" Target="https://github.com/orgs/amosproj/projects/92" TargetMode="External"/><Relationship Id="rId4" Type="http://schemas.openxmlformats.org/officeDocument/2006/relationships/hyperlink" Target="https://github.com/orgs/amosproj/projects/95" TargetMode="External"/><Relationship Id="rId11" Type="http://schemas.openxmlformats.org/officeDocument/2006/relationships/table" Target="../tables/table1.xml"/><Relationship Id="rId9" Type="http://schemas.openxmlformats.org/officeDocument/2006/relationships/drawing" Target="../drawings/drawing1.xml"/><Relationship Id="rId5" Type="http://schemas.openxmlformats.org/officeDocument/2006/relationships/hyperlink" Target="https://www.shirtinator.de/s/E_eIf-ElT4iidRVnqM8J5w" TargetMode="External"/><Relationship Id="rId6" Type="http://schemas.openxmlformats.org/officeDocument/2006/relationships/hyperlink" Target="https://www.shirtinator.de/s/R0CANDdWTRCOvCohq_encA" TargetMode="External"/><Relationship Id="rId7" Type="http://schemas.openxmlformats.org/officeDocument/2006/relationships/hyperlink" Target="https://discord.gg/VDqD2Zfb" TargetMode="External"/><Relationship Id="rId8" Type="http://schemas.openxmlformats.org/officeDocument/2006/relationships/hyperlink" Target="https://happy-amos.appspot.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anuun.ch/" TargetMode="External"/><Relationship Id="rId2" Type="http://schemas.openxmlformats.org/officeDocument/2006/relationships/drawing" Target="../drawings/drawing2.xml"/><Relationship Id="rId4"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7</v>
      </c>
    </row>
    <row r="7">
      <c r="A7" s="1"/>
      <c r="B7" s="3"/>
    </row>
    <row r="8">
      <c r="A8" s="4" t="s">
        <v>8</v>
      </c>
      <c r="B8" s="6" t="s">
        <v>9</v>
      </c>
    </row>
    <row r="9">
      <c r="A9" s="4" t="s">
        <v>10</v>
      </c>
      <c r="B9" s="6" t="s">
        <v>11</v>
      </c>
    </row>
    <row r="10">
      <c r="A10" s="4" t="s">
        <v>12</v>
      </c>
      <c r="B10" s="6" t="s">
        <v>13</v>
      </c>
    </row>
    <row r="11">
      <c r="A11" s="1"/>
      <c r="B11" s="3"/>
    </row>
    <row r="12">
      <c r="A12" s="4" t="s">
        <v>14</v>
      </c>
      <c r="B12" s="6" t="s">
        <v>15</v>
      </c>
    </row>
    <row r="13">
      <c r="A13" s="4" t="s">
        <v>16</v>
      </c>
      <c r="B13" s="6" t="s">
        <v>17</v>
      </c>
    </row>
    <row r="14">
      <c r="A14" s="1"/>
      <c r="B14" s="3"/>
    </row>
    <row r="15">
      <c r="A15" s="1" t="s">
        <v>18</v>
      </c>
      <c r="B15" s="6" t="s">
        <v>19</v>
      </c>
    </row>
    <row r="16">
      <c r="A16" s="1"/>
      <c r="B16" s="3"/>
    </row>
    <row r="17">
      <c r="A17" s="4" t="s">
        <v>20</v>
      </c>
      <c r="B17" s="2" t="s">
        <v>21</v>
      </c>
    </row>
    <row r="18">
      <c r="A18" s="1"/>
      <c r="B18" s="3"/>
    </row>
    <row r="19">
      <c r="A19" s="1"/>
      <c r="B19" s="7" t="s">
        <v>22</v>
      </c>
    </row>
    <row r="20">
      <c r="A20" s="1"/>
      <c r="B20" s="2" t="s">
        <v>23</v>
      </c>
    </row>
  </sheetData>
  <hyperlinks>
    <hyperlink r:id="rId1" ref="B3"/>
    <hyperlink r:id="rId2" ref="B8"/>
    <hyperlink r:id="rId3" ref="B9"/>
    <hyperlink r:id="rId4" ref="B10"/>
    <hyperlink r:id="rId5" ref="B12"/>
    <hyperlink r:id="rId6" ref="B13"/>
    <hyperlink r:id="rId7" ref="B15"/>
    <hyperlink r:id="rId8" ref="B19"/>
  </hyperlinks>
  <printOptions gridLines="1" horizontalCentered="1"/>
  <pageMargins bottom="0.75" footer="0.0" header="0.0" left="0.7" right="0.7" top="0.75"/>
  <pageSetup fitToHeight="0" paperSize="9" cellComments="atEnd" orientation="landscape" pageOrder="overThenDown"/>
  <drawing r:id="rId9"/>
  <tableParts count="1">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8" t="s">
        <v>24</v>
      </c>
      <c r="B1" s="8" t="s">
        <v>25</v>
      </c>
      <c r="C1" s="8" t="s">
        <v>26</v>
      </c>
      <c r="D1" s="8" t="s">
        <v>27</v>
      </c>
    </row>
    <row r="2">
      <c r="A2" s="9" t="s">
        <v>28</v>
      </c>
      <c r="B2" s="9" t="s">
        <v>29</v>
      </c>
      <c r="C2" s="9" t="s">
        <v>30</v>
      </c>
      <c r="D2" s="9" t="s">
        <v>31</v>
      </c>
    </row>
    <row r="3">
      <c r="A3" s="9" t="s">
        <v>32</v>
      </c>
      <c r="B3" s="9" t="s">
        <v>33</v>
      </c>
      <c r="C3" s="9" t="s">
        <v>34</v>
      </c>
      <c r="D3" s="9" t="s">
        <v>35</v>
      </c>
    </row>
    <row r="4">
      <c r="A4" s="9" t="s">
        <v>36</v>
      </c>
      <c r="B4" s="9" t="s">
        <v>37</v>
      </c>
      <c r="C4" s="9" t="s">
        <v>38</v>
      </c>
      <c r="D4" s="10" t="s">
        <v>39</v>
      </c>
    </row>
    <row r="5">
      <c r="A5" s="9" t="s">
        <v>40</v>
      </c>
      <c r="B5" s="9" t="s">
        <v>41</v>
      </c>
      <c r="C5" s="9" t="s">
        <v>42</v>
      </c>
      <c r="D5" s="9" t="s">
        <v>43</v>
      </c>
    </row>
    <row r="6">
      <c r="A6" s="9" t="s">
        <v>44</v>
      </c>
      <c r="B6" s="9" t="s">
        <v>45</v>
      </c>
      <c r="C6" s="9" t="s">
        <v>46</v>
      </c>
      <c r="D6" s="9" t="s">
        <v>47</v>
      </c>
    </row>
    <row r="7">
      <c r="A7" s="9" t="s">
        <v>48</v>
      </c>
      <c r="B7" s="9" t="s">
        <v>49</v>
      </c>
      <c r="C7" s="9" t="s">
        <v>50</v>
      </c>
      <c r="D7" s="9" t="s">
        <v>51</v>
      </c>
    </row>
    <row r="8">
      <c r="A8" s="9" t="s">
        <v>52</v>
      </c>
      <c r="B8" s="9" t="s">
        <v>53</v>
      </c>
      <c r="C8" s="9" t="s">
        <v>54</v>
      </c>
      <c r="D8" s="9" t="s">
        <v>55</v>
      </c>
    </row>
    <row r="9">
      <c r="A9" s="9" t="s">
        <v>56</v>
      </c>
      <c r="B9" s="9" t="s">
        <v>57</v>
      </c>
      <c r="C9" s="9" t="s">
        <v>58</v>
      </c>
      <c r="D9" s="11" t="s">
        <v>59</v>
      </c>
    </row>
    <row r="10">
      <c r="A10" s="9" t="s">
        <v>60</v>
      </c>
      <c r="B10" s="9" t="s">
        <v>61</v>
      </c>
      <c r="C10" s="9" t="s">
        <v>62</v>
      </c>
      <c r="D10" s="9" t="s">
        <v>63</v>
      </c>
    </row>
    <row r="11">
      <c r="A11" s="12"/>
      <c r="B11" s="12"/>
      <c r="C11" s="12"/>
      <c r="D11" s="12"/>
    </row>
    <row r="12">
      <c r="A12" s="8"/>
      <c r="B12" s="13"/>
      <c r="C12" s="13"/>
      <c r="D12" s="13"/>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hyperlinks>
    <hyperlink r:id="rId1" ref="D4"/>
  </hyperlinks>
  <drawing r:id="rId2"/>
  <tableParts count="1">
    <tablePart r:id="rId4"/>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5.5"/>
    <col customWidth="1" min="2" max="2" width="12.63"/>
    <col customWidth="1" min="3" max="7" width="18.88"/>
    <col customWidth="1" min="8" max="8" width="50.13"/>
  </cols>
  <sheetData>
    <row r="1">
      <c r="A1" s="14"/>
      <c r="B1" s="14"/>
      <c r="C1" s="14" t="s">
        <v>64</v>
      </c>
      <c r="E1" s="14"/>
      <c r="F1" s="15"/>
      <c r="G1" s="15"/>
      <c r="H1" s="14"/>
    </row>
    <row r="2">
      <c r="A2" s="16" t="s">
        <v>65</v>
      </c>
      <c r="B2" s="16" t="s">
        <v>66</v>
      </c>
      <c r="C2" s="16" t="s">
        <v>67</v>
      </c>
      <c r="D2" s="16" t="s">
        <v>68</v>
      </c>
      <c r="E2" s="16" t="s">
        <v>69</v>
      </c>
      <c r="F2" s="17" t="s">
        <v>70</v>
      </c>
      <c r="G2" s="17" t="s">
        <v>71</v>
      </c>
      <c r="H2" s="16" t="s">
        <v>72</v>
      </c>
    </row>
    <row r="3">
      <c r="A3" s="18">
        <v>1.0</v>
      </c>
      <c r="B3" s="19">
        <v>45952.0</v>
      </c>
      <c r="C3" s="9" t="s">
        <v>73</v>
      </c>
      <c r="D3" s="9" t="s">
        <v>74</v>
      </c>
      <c r="E3" s="9" t="s">
        <v>75</v>
      </c>
      <c r="F3" s="9" t="s">
        <v>76</v>
      </c>
      <c r="G3" s="9" t="s">
        <v>77</v>
      </c>
      <c r="H3" s="20" t="s">
        <v>78</v>
      </c>
    </row>
    <row r="4">
      <c r="A4" s="18">
        <v>2.0</v>
      </c>
      <c r="B4" s="21">
        <f t="shared" ref="B4:B11" si="1">B3+7</f>
        <v>45959</v>
      </c>
      <c r="C4" s="9" t="s">
        <v>74</v>
      </c>
      <c r="D4" s="9" t="s">
        <v>73</v>
      </c>
      <c r="E4" s="9" t="s">
        <v>75</v>
      </c>
      <c r="F4" s="9" t="s">
        <v>79</v>
      </c>
      <c r="G4" s="9" t="s">
        <v>77</v>
      </c>
      <c r="H4" s="22"/>
    </row>
    <row r="5">
      <c r="A5" s="18">
        <v>3.0</v>
      </c>
      <c r="B5" s="21">
        <f t="shared" si="1"/>
        <v>45966</v>
      </c>
      <c r="C5" s="9" t="s">
        <v>74</v>
      </c>
      <c r="D5" s="9" t="s">
        <v>73</v>
      </c>
      <c r="E5" s="9" t="s">
        <v>75</v>
      </c>
      <c r="F5" s="9" t="s">
        <v>80</v>
      </c>
      <c r="G5" s="9" t="s">
        <v>77</v>
      </c>
      <c r="H5" s="22"/>
    </row>
    <row r="6">
      <c r="A6" s="18">
        <v>4.0</v>
      </c>
      <c r="B6" s="21">
        <f t="shared" si="1"/>
        <v>45973</v>
      </c>
      <c r="C6" s="9" t="s">
        <v>73</v>
      </c>
      <c r="D6" s="9" t="s">
        <v>74</v>
      </c>
      <c r="E6" s="9" t="s">
        <v>75</v>
      </c>
      <c r="F6" s="9" t="s">
        <v>80</v>
      </c>
      <c r="G6" s="9" t="s">
        <v>77</v>
      </c>
      <c r="H6" s="22"/>
    </row>
    <row r="7">
      <c r="A7" s="18">
        <v>5.0</v>
      </c>
      <c r="B7" s="21">
        <f t="shared" si="1"/>
        <v>45980</v>
      </c>
      <c r="C7" s="9" t="s">
        <v>73</v>
      </c>
      <c r="D7" s="9" t="s">
        <v>74</v>
      </c>
      <c r="E7" s="9" t="s">
        <v>75</v>
      </c>
      <c r="F7" s="9" t="s">
        <v>79</v>
      </c>
      <c r="G7" s="9" t="s">
        <v>77</v>
      </c>
      <c r="H7" s="22"/>
    </row>
    <row r="8">
      <c r="A8" s="18">
        <v>6.0</v>
      </c>
      <c r="B8" s="21">
        <f t="shared" si="1"/>
        <v>45987</v>
      </c>
      <c r="C8" s="9" t="s">
        <v>74</v>
      </c>
      <c r="D8" s="9" t="s">
        <v>73</v>
      </c>
      <c r="E8" s="9" t="s">
        <v>75</v>
      </c>
      <c r="F8" s="9" t="s">
        <v>81</v>
      </c>
      <c r="G8" s="9" t="s">
        <v>77</v>
      </c>
      <c r="H8" s="22"/>
    </row>
    <row r="9">
      <c r="A9" s="18">
        <v>7.0</v>
      </c>
      <c r="B9" s="21">
        <f t="shared" si="1"/>
        <v>45994</v>
      </c>
      <c r="C9" s="9" t="s">
        <v>73</v>
      </c>
      <c r="D9" s="9" t="s">
        <v>74</v>
      </c>
      <c r="E9" s="9" t="s">
        <v>75</v>
      </c>
      <c r="F9" s="9" t="s">
        <v>81</v>
      </c>
      <c r="G9" s="9" t="s">
        <v>77</v>
      </c>
      <c r="H9" s="20" t="s">
        <v>82</v>
      </c>
    </row>
    <row r="10">
      <c r="A10" s="18">
        <v>8.0</v>
      </c>
      <c r="B10" s="21">
        <f t="shared" si="1"/>
        <v>46001</v>
      </c>
      <c r="C10" s="9" t="s">
        <v>74</v>
      </c>
      <c r="D10" s="9" t="s">
        <v>73</v>
      </c>
      <c r="E10" s="9" t="s">
        <v>75</v>
      </c>
      <c r="F10" s="9" t="s">
        <v>76</v>
      </c>
      <c r="G10" s="9" t="s">
        <v>77</v>
      </c>
      <c r="H10" s="22"/>
    </row>
    <row r="11">
      <c r="A11" s="18">
        <v>9.0</v>
      </c>
      <c r="B11" s="21">
        <f t="shared" si="1"/>
        <v>46008</v>
      </c>
      <c r="C11" s="9" t="s">
        <v>73</v>
      </c>
      <c r="D11" s="9" t="s">
        <v>74</v>
      </c>
      <c r="E11" s="9" t="s">
        <v>75</v>
      </c>
      <c r="F11" s="9" t="s">
        <v>83</v>
      </c>
      <c r="G11" s="9" t="s">
        <v>77</v>
      </c>
      <c r="H11" s="22"/>
    </row>
    <row r="12">
      <c r="A12" s="18">
        <v>10.0</v>
      </c>
      <c r="B12" s="19">
        <v>44937.0</v>
      </c>
      <c r="C12" s="9" t="s">
        <v>74</v>
      </c>
      <c r="D12" s="9" t="s">
        <v>73</v>
      </c>
      <c r="E12" s="9" t="s">
        <v>75</v>
      </c>
      <c r="F12" s="9" t="s">
        <v>83</v>
      </c>
      <c r="G12" s="9" t="s">
        <v>77</v>
      </c>
      <c r="H12" s="22"/>
    </row>
    <row r="13">
      <c r="A13" s="18">
        <v>11.0</v>
      </c>
      <c r="B13" s="21">
        <f t="shared" ref="B13:B17" si="2">B12+7</f>
        <v>44944</v>
      </c>
      <c r="C13" s="9" t="s">
        <v>73</v>
      </c>
      <c r="D13" s="9" t="s">
        <v>74</v>
      </c>
      <c r="E13" s="9" t="s">
        <v>75</v>
      </c>
      <c r="F13" s="9" t="s">
        <v>84</v>
      </c>
      <c r="G13" s="9" t="s">
        <v>77</v>
      </c>
      <c r="H13" s="22"/>
    </row>
    <row r="14">
      <c r="A14" s="18">
        <v>12.0</v>
      </c>
      <c r="B14" s="21">
        <f t="shared" si="2"/>
        <v>44951</v>
      </c>
      <c r="C14" s="9" t="s">
        <v>74</v>
      </c>
      <c r="D14" s="9" t="s">
        <v>73</v>
      </c>
      <c r="E14" s="9" t="s">
        <v>75</v>
      </c>
      <c r="F14" s="9" t="s">
        <v>84</v>
      </c>
      <c r="G14" s="9" t="s">
        <v>77</v>
      </c>
      <c r="H14" s="22"/>
    </row>
    <row r="15">
      <c r="A15" s="18">
        <v>13.0</v>
      </c>
      <c r="B15" s="21">
        <f t="shared" si="2"/>
        <v>44958</v>
      </c>
      <c r="C15" s="9" t="s">
        <v>73</v>
      </c>
      <c r="D15" s="9" t="s">
        <v>74</v>
      </c>
      <c r="E15" s="9" t="s">
        <v>75</v>
      </c>
      <c r="F15" s="12"/>
      <c r="G15" s="9" t="s">
        <v>77</v>
      </c>
      <c r="H15" s="22"/>
    </row>
    <row r="16">
      <c r="A16" s="18">
        <v>14.0</v>
      </c>
      <c r="B16" s="21">
        <f t="shared" si="2"/>
        <v>44965</v>
      </c>
      <c r="C16" s="9" t="s">
        <v>74</v>
      </c>
      <c r="D16" s="9" t="s">
        <v>73</v>
      </c>
      <c r="E16" s="9" t="s">
        <v>75</v>
      </c>
      <c r="F16" s="12"/>
      <c r="G16" s="9" t="s">
        <v>77</v>
      </c>
      <c r="H16" s="20" t="s">
        <v>85</v>
      </c>
    </row>
    <row r="17">
      <c r="A17" s="18">
        <v>15.0</v>
      </c>
      <c r="B17" s="21">
        <f t="shared" si="2"/>
        <v>44972</v>
      </c>
      <c r="C17" s="9" t="s">
        <v>73</v>
      </c>
      <c r="D17" s="9" t="s">
        <v>74</v>
      </c>
      <c r="E17" s="9" t="s">
        <v>75</v>
      </c>
      <c r="F17" s="12"/>
      <c r="G17" s="9" t="s">
        <v>77</v>
      </c>
      <c r="H17" s="20" t="s">
        <v>86</v>
      </c>
    </row>
    <row r="18">
      <c r="A18" s="18"/>
      <c r="B18" s="23"/>
      <c r="C18" s="12"/>
      <c r="D18" s="12"/>
      <c r="E18" s="12"/>
      <c r="F18" s="12"/>
      <c r="G18" s="12"/>
      <c r="H18" s="24"/>
    </row>
    <row r="19">
      <c r="A19" s="20" t="s">
        <v>87</v>
      </c>
      <c r="B19" s="25"/>
      <c r="C19" s="26"/>
      <c r="D19" s="26"/>
      <c r="E19" s="26"/>
      <c r="F19" s="26"/>
      <c r="G19" s="26"/>
      <c r="H19" s="24"/>
    </row>
    <row r="20">
      <c r="A20" s="26"/>
      <c r="B20" s="23"/>
      <c r="C20" s="12"/>
      <c r="D20" s="12"/>
      <c r="E20" s="12"/>
      <c r="F20" s="12"/>
      <c r="G20" s="12"/>
      <c r="H20" s="24"/>
    </row>
    <row r="21">
      <c r="A21" s="18"/>
      <c r="B21" s="23"/>
      <c r="C21" s="12"/>
      <c r="D21" s="12"/>
      <c r="E21" s="12"/>
      <c r="F21" s="12"/>
      <c r="G21" s="12"/>
      <c r="H21" s="24"/>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2.75"/>
  <cols>
    <col customWidth="1" min="1" max="1" width="25.13"/>
    <col customWidth="1" min="2" max="2" width="100.13"/>
  </cols>
  <sheetData>
    <row r="1">
      <c r="A1" s="27" t="s">
        <v>88</v>
      </c>
      <c r="B1" s="28" t="s">
        <v>89</v>
      </c>
    </row>
    <row r="2">
      <c r="A2" s="29"/>
      <c r="B2" s="30"/>
    </row>
    <row r="3">
      <c r="A3" s="31" t="s">
        <v>90</v>
      </c>
      <c r="B3" s="28" t="s">
        <v>91</v>
      </c>
    </row>
    <row r="4">
      <c r="A4" s="29"/>
      <c r="B4" s="30"/>
    </row>
    <row r="5">
      <c r="A5" s="31" t="s">
        <v>92</v>
      </c>
      <c r="B5" s="28" t="s">
        <v>93</v>
      </c>
    </row>
    <row r="6">
      <c r="A6" s="29"/>
      <c r="B6" s="30"/>
    </row>
    <row r="7">
      <c r="A7" s="31" t="s">
        <v>94</v>
      </c>
      <c r="B7" s="28" t="s">
        <v>95</v>
      </c>
    </row>
    <row r="8">
      <c r="A8" s="29"/>
      <c r="B8" s="30"/>
    </row>
    <row r="9">
      <c r="A9" s="31" t="s">
        <v>96</v>
      </c>
      <c r="B9" s="28" t="s">
        <v>97</v>
      </c>
    </row>
    <row r="10">
      <c r="A10" s="29"/>
      <c r="B10" s="30"/>
    </row>
    <row r="11">
      <c r="A11" s="31" t="s">
        <v>98</v>
      </c>
      <c r="B11" s="32"/>
    </row>
    <row r="12">
      <c r="A12" s="30"/>
      <c r="B12" s="30"/>
    </row>
    <row r="13">
      <c r="A13" s="31" t="s">
        <v>99</v>
      </c>
      <c r="B13" s="32"/>
    </row>
    <row r="14">
      <c r="A14" s="30"/>
      <c r="B14" s="30"/>
    </row>
    <row r="15">
      <c r="A15" s="33" t="s">
        <v>100</v>
      </c>
      <c r="B15" s="28" t="s">
        <v>101</v>
      </c>
    </row>
    <row r="16">
      <c r="A16" s="30"/>
      <c r="B16" s="30"/>
    </row>
    <row r="17">
      <c r="A17" s="33" t="s">
        <v>102</v>
      </c>
      <c r="B17" s="28" t="s">
        <v>103</v>
      </c>
    </row>
    <row r="18">
      <c r="A18" s="30"/>
      <c r="B18" s="30"/>
    </row>
    <row r="19">
      <c r="A19" s="31" t="s">
        <v>104</v>
      </c>
      <c r="B19" s="33"/>
    </row>
    <row r="21">
      <c r="A21" s="34" t="s">
        <v>71</v>
      </c>
      <c r="B21" s="35" t="s">
        <v>77</v>
      </c>
    </row>
    <row r="22">
      <c r="A22" s="34" t="s">
        <v>105</v>
      </c>
      <c r="B22" s="35" t="s">
        <v>73</v>
      </c>
    </row>
    <row r="23">
      <c r="A23" s="34" t="s">
        <v>105</v>
      </c>
      <c r="B23" s="35" t="s">
        <v>74</v>
      </c>
    </row>
    <row r="24">
      <c r="A24" s="34" t="s">
        <v>106</v>
      </c>
      <c r="B24" s="35" t="s">
        <v>80</v>
      </c>
    </row>
    <row r="25">
      <c r="A25" s="34" t="s">
        <v>106</v>
      </c>
      <c r="B25" s="35" t="s">
        <v>81</v>
      </c>
    </row>
    <row r="26">
      <c r="A26" s="34" t="s">
        <v>106</v>
      </c>
      <c r="B26" s="35" t="s">
        <v>79</v>
      </c>
    </row>
    <row r="27">
      <c r="A27" s="34" t="s">
        <v>106</v>
      </c>
      <c r="B27" s="35" t="s">
        <v>76</v>
      </c>
    </row>
    <row r="28">
      <c r="A28" s="34" t="s">
        <v>106</v>
      </c>
      <c r="B28" s="35" t="s">
        <v>83</v>
      </c>
    </row>
    <row r="29">
      <c r="A29" s="34" t="s">
        <v>106</v>
      </c>
      <c r="B29" s="35" t="s">
        <v>84</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6" t="s">
        <v>107</v>
      </c>
      <c r="B1" s="36" t="s">
        <v>108</v>
      </c>
    </row>
    <row r="2">
      <c r="A2" s="37"/>
      <c r="B2" s="38"/>
    </row>
    <row r="3">
      <c r="A3" s="39" t="s">
        <v>109</v>
      </c>
      <c r="B3" s="39" t="s">
        <v>110</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0" t="s">
        <v>111</v>
      </c>
      <c r="B1" s="40" t="s">
        <v>112</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1" t="s">
        <v>113</v>
      </c>
      <c r="B1" s="4" t="s">
        <v>114</v>
      </c>
    </row>
    <row r="2">
      <c r="A2" s="42">
        <v>1.0</v>
      </c>
      <c r="B2" s="2" t="s">
        <v>115</v>
      </c>
    </row>
    <row r="3">
      <c r="A3" s="42">
        <f t="shared" ref="A3:A16" si="1">A2+1</f>
        <v>2</v>
      </c>
      <c r="B3" s="2" t="s">
        <v>116</v>
      </c>
    </row>
    <row r="4">
      <c r="A4" s="42">
        <f t="shared" si="1"/>
        <v>3</v>
      </c>
      <c r="B4" s="2" t="s">
        <v>117</v>
      </c>
    </row>
    <row r="5">
      <c r="A5" s="42">
        <f t="shared" si="1"/>
        <v>4</v>
      </c>
      <c r="B5" s="35" t="s">
        <v>118</v>
      </c>
    </row>
    <row r="6">
      <c r="A6" s="42">
        <f t="shared" si="1"/>
        <v>5</v>
      </c>
      <c r="B6" s="2" t="s">
        <v>119</v>
      </c>
    </row>
    <row r="7">
      <c r="A7" s="42">
        <f t="shared" si="1"/>
        <v>6</v>
      </c>
      <c r="B7" s="2" t="s">
        <v>120</v>
      </c>
    </row>
    <row r="8">
      <c r="A8" s="42">
        <f t="shared" si="1"/>
        <v>7</v>
      </c>
      <c r="B8" s="2" t="s">
        <v>121</v>
      </c>
    </row>
    <row r="9">
      <c r="A9" s="42">
        <f t="shared" si="1"/>
        <v>8</v>
      </c>
      <c r="B9" s="3"/>
    </row>
    <row r="10">
      <c r="A10" s="42">
        <f t="shared" si="1"/>
        <v>9</v>
      </c>
      <c r="B10" s="3"/>
    </row>
    <row r="11">
      <c r="A11" s="42">
        <f t="shared" si="1"/>
        <v>10</v>
      </c>
      <c r="B11" s="3"/>
    </row>
    <row r="12">
      <c r="A12" s="42">
        <f t="shared" si="1"/>
        <v>11</v>
      </c>
      <c r="B12" s="3"/>
    </row>
    <row r="13">
      <c r="A13" s="42">
        <f t="shared" si="1"/>
        <v>12</v>
      </c>
      <c r="B13" s="3"/>
    </row>
    <row r="14">
      <c r="A14" s="42">
        <f t="shared" si="1"/>
        <v>13</v>
      </c>
      <c r="B14" s="3"/>
    </row>
    <row r="15">
      <c r="A15" s="42">
        <f t="shared" si="1"/>
        <v>14</v>
      </c>
      <c r="B15" s="3"/>
    </row>
    <row r="16">
      <c r="A16" s="42">
        <f t="shared" si="1"/>
        <v>15</v>
      </c>
      <c r="B16" s="3"/>
    </row>
    <row r="17">
      <c r="A17" s="42"/>
      <c r="B17" s="3"/>
    </row>
    <row r="18">
      <c r="A18" s="42"/>
      <c r="B18" s="3"/>
    </row>
    <row r="19">
      <c r="A19" s="43"/>
      <c r="B19" s="3"/>
    </row>
    <row r="20">
      <c r="A20" s="43"/>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1" t="s">
        <v>113</v>
      </c>
      <c r="B1" s="4" t="s">
        <v>122</v>
      </c>
    </row>
    <row r="2">
      <c r="A2" s="42">
        <v>1.0</v>
      </c>
      <c r="B2" s="2">
        <v>0.0</v>
      </c>
    </row>
    <row r="3">
      <c r="A3" s="42">
        <f t="shared" ref="A3:A16" si="1">A2+1</f>
        <v>2</v>
      </c>
      <c r="B3" s="2">
        <f>SUM('Mid-Project Release plan'!B21:F24)</f>
        <v>14</v>
      </c>
    </row>
    <row r="4">
      <c r="A4" s="42">
        <f t="shared" si="1"/>
        <v>3</v>
      </c>
      <c r="B4" s="2">
        <f>SUM('Mid-Project Release plan'!B26:F32)</f>
        <v>22</v>
      </c>
    </row>
    <row r="5">
      <c r="A5" s="42">
        <f t="shared" si="1"/>
        <v>4</v>
      </c>
      <c r="B5" s="35">
        <f>SUM('Mid-Project Release plan'!B34:F36)</f>
        <v>11</v>
      </c>
    </row>
    <row r="6">
      <c r="A6" s="42">
        <f t="shared" si="1"/>
        <v>5</v>
      </c>
      <c r="B6" s="2">
        <f>SUM('Mid-Project Release plan'!B38:F45)</f>
        <v>21</v>
      </c>
    </row>
    <row r="7">
      <c r="A7" s="42">
        <f t="shared" si="1"/>
        <v>6</v>
      </c>
      <c r="B7" s="2"/>
    </row>
    <row r="8">
      <c r="A8" s="42">
        <f t="shared" si="1"/>
        <v>7</v>
      </c>
      <c r="B8" s="3"/>
    </row>
    <row r="9">
      <c r="A9" s="42">
        <f t="shared" si="1"/>
        <v>8</v>
      </c>
      <c r="B9" s="3"/>
    </row>
    <row r="10">
      <c r="A10" s="42">
        <f t="shared" si="1"/>
        <v>9</v>
      </c>
      <c r="B10" s="3"/>
    </row>
    <row r="11">
      <c r="A11" s="42">
        <f t="shared" si="1"/>
        <v>10</v>
      </c>
      <c r="B11" s="3"/>
    </row>
    <row r="12">
      <c r="A12" s="42">
        <f t="shared" si="1"/>
        <v>11</v>
      </c>
      <c r="B12" s="3"/>
    </row>
    <row r="13">
      <c r="A13" s="42">
        <f t="shared" si="1"/>
        <v>12</v>
      </c>
      <c r="B13" s="3"/>
    </row>
    <row r="14">
      <c r="A14" s="42">
        <f t="shared" si="1"/>
        <v>13</v>
      </c>
      <c r="B14" s="3"/>
    </row>
    <row r="15">
      <c r="A15" s="42">
        <f t="shared" si="1"/>
        <v>14</v>
      </c>
      <c r="B15" s="3"/>
    </row>
    <row r="16">
      <c r="A16" s="42">
        <f t="shared" si="1"/>
        <v>15</v>
      </c>
      <c r="B16" s="3"/>
    </row>
    <row r="17">
      <c r="A17" s="42"/>
      <c r="B17" s="3"/>
    </row>
    <row r="18">
      <c r="A18" s="42"/>
      <c r="B18" s="44"/>
    </row>
    <row r="19">
      <c r="A19" s="43"/>
      <c r="B19" s="3"/>
    </row>
    <row r="20">
      <c r="A20" s="43"/>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36.38"/>
  </cols>
  <sheetData>
    <row r="1">
      <c r="A1" s="4" t="s">
        <v>123</v>
      </c>
    </row>
    <row r="2">
      <c r="A2" s="2">
        <f>AVERAGE('Velocity Tracking'!B$2:B$16)</f>
        <v>13.6</v>
      </c>
    </row>
    <row r="3">
      <c r="A3" s="2">
        <f>AVERAGE('Velocity Tracking'!B$2:B$16)</f>
        <v>13.6</v>
      </c>
    </row>
    <row r="4">
      <c r="A4" s="2">
        <f>AVERAGE('Velocity Tracking'!B$2:B$16)</f>
        <v>13.6</v>
      </c>
    </row>
    <row r="5">
      <c r="A5" s="2">
        <f>AVERAGE('Velocity Tracking'!B$2:B$16)</f>
        <v>13.6</v>
      </c>
    </row>
    <row r="6">
      <c r="A6" s="2">
        <f>AVERAGE('Velocity Tracking'!B$2:B$16)</f>
        <v>13.6</v>
      </c>
    </row>
    <row r="7">
      <c r="A7" s="2">
        <f>AVERAGE('Velocity Tracking'!B$2:B$16)</f>
        <v>13.6</v>
      </c>
    </row>
    <row r="8">
      <c r="A8" s="2">
        <f>AVERAGE('Velocity Tracking'!B$2:B$16)</f>
        <v>13.6</v>
      </c>
    </row>
    <row r="9">
      <c r="A9" s="2">
        <f>AVERAGE('Velocity Tracking'!B$2:B$16)</f>
        <v>13.6</v>
      </c>
    </row>
    <row r="10">
      <c r="A10" s="2">
        <f>AVERAGE('Velocity Tracking'!B$2:B$16)</f>
        <v>13.6</v>
      </c>
    </row>
    <row r="11">
      <c r="A11" s="2">
        <f>AVERAGE('Velocity Tracking'!B$2:B$16)</f>
        <v>13.6</v>
      </c>
    </row>
    <row r="12">
      <c r="A12" s="2">
        <f>AVERAGE('Velocity Tracking'!B$2:B$16)</f>
        <v>13.6</v>
      </c>
    </row>
    <row r="13">
      <c r="A13" s="2">
        <f>AVERAGE('Velocity Tracking'!B$2:B$16)</f>
        <v>13.6</v>
      </c>
    </row>
    <row r="14">
      <c r="A14" s="2">
        <f>AVERAGE('Velocity Tracking'!B$2:B$16)</f>
        <v>13.6</v>
      </c>
    </row>
    <row r="15">
      <c r="A15" s="2">
        <f>AVERAGE('Velocity Tracking'!B$2:B$16)</f>
        <v>13.6</v>
      </c>
    </row>
    <row r="16">
      <c r="A16" s="2">
        <f>AVERAGE('Velocity Tracking'!B$2:B$16)</f>
        <v>13.6</v>
      </c>
    </row>
    <row r="17">
      <c r="A17" s="3"/>
    </row>
    <row r="18">
      <c r="A18" s="45"/>
    </row>
    <row r="19">
      <c r="A19" s="3"/>
    </row>
    <row r="20">
      <c r="A20" s="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9.38"/>
    <col customWidth="1" min="3" max="3" width="62.63"/>
    <col customWidth="1" min="4" max="7" width="15.75"/>
  </cols>
  <sheetData>
    <row r="1">
      <c r="A1" s="46" t="s">
        <v>124</v>
      </c>
      <c r="B1" s="47" t="s">
        <v>125</v>
      </c>
      <c r="C1" s="48" t="s">
        <v>126</v>
      </c>
      <c r="D1" s="49" t="s">
        <v>127</v>
      </c>
      <c r="E1" s="49" t="s">
        <v>128</v>
      </c>
      <c r="F1" s="49" t="s">
        <v>129</v>
      </c>
      <c r="G1" s="49" t="s">
        <v>130</v>
      </c>
    </row>
    <row r="2">
      <c r="A2" s="50"/>
      <c r="B2" s="51"/>
      <c r="C2" s="32"/>
      <c r="D2" s="32"/>
      <c r="E2" s="32"/>
      <c r="F2" s="32"/>
      <c r="G2" s="32"/>
    </row>
    <row r="3">
      <c r="A3" s="52" t="s">
        <v>131</v>
      </c>
      <c r="B3" s="53"/>
      <c r="C3" s="54"/>
      <c r="D3" s="54"/>
      <c r="E3" s="54"/>
      <c r="F3" s="54"/>
      <c r="G3" s="54"/>
    </row>
    <row r="4">
      <c r="A4" s="50"/>
      <c r="B4" s="51"/>
      <c r="C4" s="32"/>
      <c r="D4" s="32"/>
      <c r="E4" s="32"/>
      <c r="F4" s="32"/>
      <c r="G4" s="32"/>
    </row>
    <row r="5">
      <c r="A5" s="55" t="s">
        <v>132</v>
      </c>
      <c r="B5" s="56"/>
      <c r="C5" s="30"/>
      <c r="D5" s="57">
        <f>sum(D8:D16)</f>
        <v>121</v>
      </c>
      <c r="E5" s="57">
        <f>D5</f>
        <v>121</v>
      </c>
      <c r="F5" s="30"/>
      <c r="G5" s="30"/>
    </row>
    <row r="6">
      <c r="A6" s="50"/>
      <c r="B6" s="51"/>
      <c r="C6" s="32"/>
      <c r="D6" s="32"/>
      <c r="E6" s="32"/>
      <c r="F6" s="32"/>
      <c r="G6" s="32"/>
    </row>
    <row r="7">
      <c r="A7" s="58" t="s">
        <v>133</v>
      </c>
      <c r="B7" s="59"/>
      <c r="C7" s="60"/>
      <c r="D7" s="60"/>
      <c r="E7" s="60"/>
      <c r="F7" s="60"/>
      <c r="G7" s="60"/>
    </row>
    <row r="8">
      <c r="A8" s="50"/>
      <c r="B8" s="51"/>
      <c r="C8" s="32"/>
      <c r="D8" s="32"/>
      <c r="E8" s="61" t="s">
        <v>134</v>
      </c>
      <c r="F8" s="32"/>
      <c r="G8" s="61" t="s">
        <v>135</v>
      </c>
    </row>
    <row r="9">
      <c r="A9" s="62">
        <f t="shared" ref="A9:A14" si="1">ROW()-8</f>
        <v>1</v>
      </c>
      <c r="B9" s="63" t="str">
        <f>'Sprint Goals'!B2</f>
        <v>Meeting with industry partner and getting things started (and the T-shirt of course)</v>
      </c>
      <c r="C9" s="30"/>
      <c r="D9" s="57">
        <f>sum(D19)</f>
        <v>0</v>
      </c>
      <c r="E9" s="57">
        <f>$D$5</f>
        <v>121</v>
      </c>
      <c r="F9" s="57">
        <f>sum(F19)</f>
        <v>0</v>
      </c>
      <c r="G9" s="57">
        <f>$D$5</f>
        <v>121</v>
      </c>
    </row>
    <row r="10">
      <c r="A10" s="62">
        <f t="shared" si="1"/>
        <v>2</v>
      </c>
      <c r="B10" s="64" t="str">
        <f>'Sprint Goals'!B3</f>
        <v>Start work on individual components and research unclear topics</v>
      </c>
      <c r="C10" s="32"/>
      <c r="D10" s="65">
        <f>sum(D20:D24)</f>
        <v>16</v>
      </c>
      <c r="E10" s="65">
        <f t="shared" ref="E10:E14" si="2">E9-D9</f>
        <v>121</v>
      </c>
      <c r="F10" s="65">
        <f>sum(F21:F24)</f>
        <v>14</v>
      </c>
      <c r="G10" s="65">
        <f t="shared" ref="G10:G14" si="3">G9-F9</f>
        <v>121</v>
      </c>
    </row>
    <row r="11">
      <c r="A11" s="62">
        <f t="shared" si="1"/>
        <v>3</v>
      </c>
      <c r="B11" s="63" t="str">
        <f>'Sprint Goals'!B4</f>
        <v>Combining components into a first working prototype</v>
      </c>
      <c r="C11" s="30"/>
      <c r="D11" s="57">
        <f>sum(D25:D32)</f>
        <v>21</v>
      </c>
      <c r="E11" s="57">
        <f t="shared" si="2"/>
        <v>105</v>
      </c>
      <c r="F11" s="57">
        <f>sum(F25:F32)</f>
        <v>22</v>
      </c>
      <c r="G11" s="57">
        <f t="shared" si="3"/>
        <v>107</v>
      </c>
    </row>
    <row r="12">
      <c r="A12" s="62">
        <f t="shared" si="1"/>
        <v>4</v>
      </c>
      <c r="B12" s="64" t="str">
        <f>'Sprint Goals'!B5</f>
        <v>Refining prototype and splitting out components</v>
      </c>
      <c r="C12" s="32"/>
      <c r="D12" s="32">
        <f>sum(D33:D36)</f>
        <v>13</v>
      </c>
      <c r="E12" s="65">
        <f t="shared" si="2"/>
        <v>84</v>
      </c>
      <c r="F12" s="32">
        <f>sum(F33:F36)</f>
        <v>11</v>
      </c>
      <c r="G12" s="65">
        <f t="shared" si="3"/>
        <v>85</v>
      </c>
    </row>
    <row r="13">
      <c r="A13" s="62">
        <f t="shared" si="1"/>
        <v>5</v>
      </c>
      <c r="B13" s="63" t="str">
        <f>'Sprint Goals'!B6</f>
        <v>Finishing the Implementation of the Initial Architecture</v>
      </c>
      <c r="C13" s="30"/>
      <c r="D13" s="30">
        <f>Sum(D37:D45)</f>
        <v>25</v>
      </c>
      <c r="E13" s="65">
        <f t="shared" si="2"/>
        <v>71</v>
      </c>
      <c r="F13" s="30">
        <f>sum(F37:F45)</f>
        <v>21</v>
      </c>
      <c r="G13" s="65">
        <f t="shared" si="3"/>
        <v>74</v>
      </c>
    </row>
    <row r="14">
      <c r="A14" s="62">
        <f t="shared" si="1"/>
        <v>6</v>
      </c>
      <c r="B14" s="64" t="str">
        <f>'Sprint Goals'!B7</f>
        <v>Refine component parts</v>
      </c>
      <c r="C14" s="30"/>
      <c r="D14" s="30">
        <f>Sum(D47:D61)</f>
        <v>46</v>
      </c>
      <c r="E14" s="30">
        <f t="shared" si="2"/>
        <v>46</v>
      </c>
      <c r="F14" s="30">
        <f>Sum(F47:F61)</f>
        <v>0</v>
      </c>
      <c r="G14" s="30">
        <f t="shared" si="3"/>
        <v>53</v>
      </c>
    </row>
    <row r="15">
      <c r="A15" s="62"/>
      <c r="B15" s="55"/>
      <c r="C15" s="30"/>
      <c r="D15" s="30"/>
      <c r="E15" s="30"/>
      <c r="F15" s="30"/>
      <c r="G15" s="30"/>
    </row>
    <row r="16">
      <c r="A16" s="62"/>
      <c r="B16" s="55"/>
      <c r="C16" s="30"/>
      <c r="D16" s="30"/>
      <c r="E16" s="30"/>
      <c r="F16" s="30"/>
      <c r="G16" s="30"/>
    </row>
    <row r="17">
      <c r="A17" s="66" t="s">
        <v>136</v>
      </c>
      <c r="B17" s="67"/>
      <c r="C17" s="68"/>
      <c r="D17" s="68"/>
      <c r="E17" s="68"/>
      <c r="F17" s="68"/>
      <c r="G17" s="68"/>
    </row>
    <row r="18">
      <c r="A18" s="62"/>
      <c r="B18" s="55"/>
      <c r="C18" s="30"/>
      <c r="D18" s="30"/>
      <c r="E18" s="30"/>
      <c r="F18" s="30"/>
      <c r="G18" s="30"/>
    </row>
    <row r="19">
      <c r="A19" s="69">
        <f t="shared" ref="A19:B19" si="4">A9</f>
        <v>1</v>
      </c>
      <c r="B19" s="70" t="str">
        <f t="shared" si="4"/>
        <v>Meeting with industry partner and getting things started (and the T-shirt of course)</v>
      </c>
      <c r="C19" s="32"/>
      <c r="D19" s="32"/>
      <c r="E19" s="32"/>
      <c r="F19" s="32"/>
      <c r="G19" s="32"/>
    </row>
    <row r="20">
      <c r="A20" s="69">
        <f t="shared" ref="A20:B20" si="5">A10</f>
        <v>2</v>
      </c>
      <c r="B20" s="70" t="str">
        <f t="shared" si="5"/>
        <v>Start work on individual components and research unclear topics</v>
      </c>
      <c r="C20" s="32"/>
      <c r="D20" s="32"/>
      <c r="E20" s="32"/>
      <c r="F20" s="32"/>
      <c r="G20" s="32"/>
    </row>
    <row r="21">
      <c r="A21" s="62"/>
      <c r="B21" s="71"/>
      <c r="C21" s="72" t="s">
        <v>137</v>
      </c>
      <c r="D21" s="72">
        <v>5.0</v>
      </c>
      <c r="E21" s="30"/>
      <c r="F21" s="72">
        <v>5.0</v>
      </c>
      <c r="G21" s="30"/>
    </row>
    <row r="22">
      <c r="A22" s="73"/>
      <c r="B22" s="74"/>
      <c r="C22" s="75" t="s">
        <v>138</v>
      </c>
      <c r="D22" s="76">
        <v>5.0</v>
      </c>
      <c r="E22" s="74"/>
      <c r="F22" s="76">
        <v>5.0</v>
      </c>
      <c r="G22" s="74"/>
    </row>
    <row r="23">
      <c r="A23" s="62"/>
      <c r="B23" s="71"/>
      <c r="C23" s="72" t="s">
        <v>139</v>
      </c>
      <c r="D23" s="77">
        <v>3.0</v>
      </c>
      <c r="E23" s="30"/>
      <c r="F23" s="77">
        <v>3.0</v>
      </c>
      <c r="G23" s="30"/>
    </row>
    <row r="24">
      <c r="A24" s="73"/>
      <c r="B24" s="74"/>
      <c r="C24" s="75" t="s">
        <v>140</v>
      </c>
      <c r="D24" s="76">
        <v>3.0</v>
      </c>
      <c r="E24" s="74"/>
      <c r="F24" s="76">
        <v>1.0</v>
      </c>
      <c r="G24" s="74"/>
    </row>
    <row r="25">
      <c r="A25" s="69">
        <f t="shared" ref="A25:B25" si="6">A11</f>
        <v>3</v>
      </c>
      <c r="B25" s="70" t="str">
        <f t="shared" si="6"/>
        <v>Combining components into a first working prototype</v>
      </c>
      <c r="C25" s="32"/>
      <c r="D25" s="32"/>
      <c r="E25" s="32"/>
      <c r="F25" s="32"/>
      <c r="G25" s="32"/>
    </row>
    <row r="26">
      <c r="A26" s="62"/>
      <c r="B26" s="71"/>
      <c r="C26" s="72" t="s">
        <v>141</v>
      </c>
      <c r="D26" s="72">
        <v>2.0</v>
      </c>
      <c r="E26" s="30"/>
      <c r="F26" s="72">
        <v>2.0</v>
      </c>
      <c r="G26" s="30"/>
    </row>
    <row r="27">
      <c r="A27" s="73"/>
      <c r="B27" s="74"/>
      <c r="C27" s="75" t="s">
        <v>142</v>
      </c>
      <c r="D27" s="76">
        <v>2.0</v>
      </c>
      <c r="E27" s="74"/>
      <c r="F27" s="75">
        <v>3.0</v>
      </c>
      <c r="G27" s="74"/>
    </row>
    <row r="28">
      <c r="A28" s="62"/>
      <c r="B28" s="71"/>
      <c r="C28" s="72" t="s">
        <v>143</v>
      </c>
      <c r="D28" s="77">
        <v>2.0</v>
      </c>
      <c r="E28" s="30"/>
      <c r="F28" s="72">
        <v>2.0</v>
      </c>
      <c r="G28" s="30"/>
    </row>
    <row r="29">
      <c r="A29" s="73"/>
      <c r="B29" s="74"/>
      <c r="C29" s="28" t="s">
        <v>144</v>
      </c>
      <c r="D29" s="76">
        <v>3.0</v>
      </c>
      <c r="E29" s="74"/>
      <c r="F29" s="75">
        <v>3.0</v>
      </c>
      <c r="G29" s="74"/>
    </row>
    <row r="30">
      <c r="A30" s="62"/>
      <c r="B30" s="71"/>
      <c r="C30" s="78" t="s">
        <v>145</v>
      </c>
      <c r="D30" s="77">
        <v>2.0</v>
      </c>
      <c r="E30" s="30"/>
      <c r="F30" s="72">
        <v>2.0</v>
      </c>
      <c r="G30" s="30"/>
    </row>
    <row r="31">
      <c r="A31" s="73"/>
      <c r="B31" s="74"/>
      <c r="C31" s="28" t="s">
        <v>146</v>
      </c>
      <c r="D31" s="28">
        <v>5.0</v>
      </c>
      <c r="E31" s="32"/>
      <c r="F31" s="28">
        <v>5.0</v>
      </c>
      <c r="G31" s="32"/>
    </row>
    <row r="32">
      <c r="A32" s="73"/>
      <c r="B32" s="74"/>
      <c r="C32" s="28" t="s">
        <v>147</v>
      </c>
      <c r="D32" s="28">
        <v>5.0</v>
      </c>
      <c r="E32" s="32"/>
      <c r="F32" s="28">
        <v>5.0</v>
      </c>
      <c r="G32" s="32"/>
    </row>
    <row r="33">
      <c r="A33" s="79">
        <f t="shared" ref="A33:B33" si="7">A12</f>
        <v>4</v>
      </c>
      <c r="B33" s="70" t="str">
        <f t="shared" si="7"/>
        <v>Refining prototype and splitting out components</v>
      </c>
      <c r="C33" s="32"/>
      <c r="D33" s="32"/>
      <c r="E33" s="32"/>
      <c r="F33" s="32"/>
      <c r="G33" s="32"/>
    </row>
    <row r="34">
      <c r="A34" s="73"/>
      <c r="B34" s="74"/>
      <c r="C34" s="28" t="s">
        <v>148</v>
      </c>
      <c r="D34" s="28">
        <v>5.0</v>
      </c>
      <c r="E34" s="32"/>
      <c r="F34" s="28">
        <v>3.0</v>
      </c>
      <c r="G34" s="32"/>
    </row>
    <row r="35">
      <c r="A35" s="73"/>
      <c r="B35" s="74"/>
      <c r="C35" s="28" t="s">
        <v>149</v>
      </c>
      <c r="D35" s="28">
        <v>3.0</v>
      </c>
      <c r="E35" s="32"/>
      <c r="F35" s="28">
        <v>3.0</v>
      </c>
      <c r="G35" s="32"/>
    </row>
    <row r="36">
      <c r="A36" s="73"/>
      <c r="B36" s="74"/>
      <c r="C36" s="28" t="s">
        <v>150</v>
      </c>
      <c r="D36" s="28">
        <v>5.0</v>
      </c>
      <c r="E36" s="32"/>
      <c r="F36" s="28">
        <v>5.0</v>
      </c>
      <c r="G36" s="32"/>
    </row>
    <row r="37">
      <c r="A37" s="73">
        <f t="shared" ref="A37:B37" si="8">A13</f>
        <v>5</v>
      </c>
      <c r="B37" s="70" t="str">
        <f t="shared" si="8"/>
        <v>Finishing the Implementation of the Initial Architecture</v>
      </c>
      <c r="C37" s="32"/>
      <c r="D37" s="32"/>
      <c r="E37" s="32"/>
      <c r="F37" s="32"/>
      <c r="G37" s="32"/>
    </row>
    <row r="38">
      <c r="A38" s="73"/>
      <c r="B38" s="74"/>
      <c r="C38" s="28" t="s">
        <v>151</v>
      </c>
      <c r="D38" s="28">
        <v>3.0</v>
      </c>
      <c r="E38" s="32"/>
      <c r="F38" s="28">
        <v>3.0</v>
      </c>
      <c r="G38" s="32"/>
    </row>
    <row r="39">
      <c r="A39" s="73"/>
      <c r="B39" s="74"/>
      <c r="C39" s="28" t="s">
        <v>152</v>
      </c>
      <c r="D39" s="28">
        <v>5.0</v>
      </c>
      <c r="E39" s="32"/>
      <c r="F39" s="28">
        <v>5.0</v>
      </c>
      <c r="G39" s="32"/>
    </row>
    <row r="40">
      <c r="A40" s="73"/>
      <c r="B40" s="74"/>
      <c r="C40" s="28" t="s">
        <v>153</v>
      </c>
      <c r="D40" s="28">
        <v>3.0</v>
      </c>
      <c r="E40" s="32"/>
      <c r="F40" s="28">
        <v>3.0</v>
      </c>
      <c r="G40" s="32"/>
    </row>
    <row r="41">
      <c r="A41" s="73"/>
      <c r="B41" s="74"/>
      <c r="C41" s="28" t="s">
        <v>154</v>
      </c>
      <c r="D41" s="28">
        <v>5.0</v>
      </c>
      <c r="E41" s="32"/>
      <c r="F41" s="28">
        <v>3.0</v>
      </c>
      <c r="G41" s="32"/>
    </row>
    <row r="42">
      <c r="A42" s="73"/>
      <c r="B42" s="74"/>
      <c r="C42" s="28" t="s">
        <v>155</v>
      </c>
      <c r="D42" s="28">
        <v>3.0</v>
      </c>
      <c r="E42" s="32"/>
      <c r="F42" s="28">
        <v>3.0</v>
      </c>
      <c r="G42" s="32"/>
    </row>
    <row r="43">
      <c r="A43" s="73"/>
      <c r="B43" s="74"/>
      <c r="C43" s="28" t="s">
        <v>156</v>
      </c>
      <c r="D43" s="28">
        <v>3.0</v>
      </c>
      <c r="E43" s="32"/>
      <c r="F43" s="28">
        <v>3.0</v>
      </c>
      <c r="G43" s="32"/>
    </row>
    <row r="44">
      <c r="A44" s="73"/>
      <c r="B44" s="74"/>
      <c r="C44" s="28" t="s">
        <v>157</v>
      </c>
      <c r="D44" s="28">
        <v>1.0</v>
      </c>
      <c r="E44" s="32"/>
      <c r="F44" s="28">
        <v>1.0</v>
      </c>
      <c r="G44" s="32"/>
    </row>
    <row r="45">
      <c r="A45" s="73"/>
      <c r="B45" s="74"/>
      <c r="C45" s="28" t="s">
        <v>158</v>
      </c>
      <c r="D45" s="28">
        <v>2.0</v>
      </c>
      <c r="E45" s="32"/>
      <c r="F45" s="28">
        <v>0.0</v>
      </c>
      <c r="G45" s="32"/>
    </row>
    <row r="46">
      <c r="A46" s="73"/>
      <c r="B46" s="74"/>
      <c r="C46" s="28"/>
      <c r="D46" s="28"/>
      <c r="E46" s="32"/>
      <c r="F46" s="32"/>
      <c r="G46" s="32"/>
    </row>
    <row r="47">
      <c r="A47" s="73">
        <f t="shared" ref="A47:B47" si="9">A14</f>
        <v>6</v>
      </c>
      <c r="B47" s="70" t="str">
        <f t="shared" si="9"/>
        <v>Refine component parts</v>
      </c>
      <c r="C47" s="32"/>
      <c r="D47" s="32"/>
      <c r="E47" s="32"/>
      <c r="F47" s="32"/>
      <c r="G47" s="32"/>
    </row>
    <row r="48">
      <c r="A48" s="73"/>
      <c r="B48" s="74"/>
      <c r="C48" s="28" t="s">
        <v>159</v>
      </c>
      <c r="D48" s="28">
        <v>3.0</v>
      </c>
      <c r="E48" s="32"/>
      <c r="F48" s="32"/>
      <c r="G48" s="32"/>
    </row>
    <row r="49">
      <c r="A49" s="73"/>
      <c r="B49" s="74"/>
      <c r="C49" s="28" t="s">
        <v>160</v>
      </c>
      <c r="D49" s="28">
        <v>3.0</v>
      </c>
      <c r="E49" s="32"/>
      <c r="F49" s="32"/>
      <c r="G49" s="32"/>
    </row>
    <row r="50">
      <c r="A50" s="73"/>
      <c r="B50" s="74"/>
      <c r="C50" s="28" t="s">
        <v>161</v>
      </c>
      <c r="D50" s="28">
        <v>3.0</v>
      </c>
      <c r="E50" s="32"/>
      <c r="F50" s="32"/>
      <c r="G50" s="32"/>
    </row>
    <row r="51">
      <c r="A51" s="73"/>
      <c r="B51" s="74"/>
      <c r="C51" s="28" t="s">
        <v>162</v>
      </c>
      <c r="D51" s="28">
        <v>2.0</v>
      </c>
      <c r="E51" s="32"/>
      <c r="F51" s="32"/>
      <c r="G51" s="32"/>
    </row>
    <row r="52">
      <c r="A52" s="73"/>
      <c r="B52" s="74"/>
      <c r="C52" s="28" t="s">
        <v>163</v>
      </c>
      <c r="D52" s="28">
        <v>3.0</v>
      </c>
      <c r="E52" s="32"/>
      <c r="F52" s="32"/>
      <c r="G52" s="32"/>
    </row>
    <row r="53">
      <c r="A53" s="73"/>
      <c r="B53" s="74"/>
      <c r="C53" s="28" t="s">
        <v>164</v>
      </c>
      <c r="D53" s="28">
        <v>2.0</v>
      </c>
      <c r="E53" s="32"/>
      <c r="F53" s="32"/>
      <c r="G53" s="32"/>
    </row>
    <row r="54">
      <c r="A54" s="73"/>
      <c r="B54" s="74"/>
      <c r="C54" s="28" t="s">
        <v>165</v>
      </c>
      <c r="D54" s="28">
        <v>3.0</v>
      </c>
      <c r="E54" s="32"/>
      <c r="F54" s="32"/>
      <c r="G54" s="32"/>
    </row>
    <row r="55">
      <c r="A55" s="73"/>
      <c r="B55" s="74"/>
      <c r="C55" s="28" t="s">
        <v>166</v>
      </c>
      <c r="D55" s="28">
        <v>2.0</v>
      </c>
      <c r="E55" s="32"/>
      <c r="F55" s="32"/>
      <c r="G55" s="32"/>
    </row>
    <row r="56">
      <c r="A56" s="73"/>
      <c r="B56" s="74"/>
      <c r="C56" s="28" t="s">
        <v>167</v>
      </c>
      <c r="D56" s="28">
        <v>3.0</v>
      </c>
      <c r="E56" s="32"/>
      <c r="F56" s="32"/>
      <c r="G56" s="32"/>
    </row>
    <row r="57">
      <c r="A57" s="73"/>
      <c r="B57" s="74"/>
      <c r="C57" s="28" t="s">
        <v>168</v>
      </c>
      <c r="D57" s="28">
        <v>3.0</v>
      </c>
      <c r="E57" s="32"/>
      <c r="F57" s="32"/>
      <c r="G57" s="32"/>
    </row>
    <row r="58">
      <c r="A58" s="73"/>
      <c r="B58" s="74"/>
      <c r="C58" s="28" t="s">
        <v>169</v>
      </c>
      <c r="D58" s="28">
        <v>3.0</v>
      </c>
      <c r="E58" s="32"/>
      <c r="F58" s="32"/>
      <c r="G58" s="32"/>
    </row>
    <row r="59">
      <c r="A59" s="73"/>
      <c r="B59" s="74"/>
      <c r="C59" s="28" t="s">
        <v>170</v>
      </c>
      <c r="D59" s="28">
        <v>5.0</v>
      </c>
      <c r="E59" s="32"/>
      <c r="F59" s="32"/>
      <c r="G59" s="32"/>
    </row>
    <row r="60">
      <c r="A60" s="73"/>
      <c r="B60" s="74"/>
      <c r="C60" s="28" t="s">
        <v>171</v>
      </c>
      <c r="D60" s="28">
        <v>8.0</v>
      </c>
      <c r="E60" s="32"/>
      <c r="F60" s="32"/>
      <c r="G60" s="32"/>
    </row>
    <row r="61">
      <c r="A61" s="73"/>
      <c r="B61" s="74"/>
      <c r="C61" s="28" t="s">
        <v>172</v>
      </c>
      <c r="D61" s="28">
        <v>3.0</v>
      </c>
      <c r="E61" s="32"/>
      <c r="F61" s="32"/>
      <c r="G61" s="32"/>
    </row>
    <row r="62">
      <c r="A62" s="73"/>
      <c r="B62" s="74"/>
      <c r="C62" s="32"/>
      <c r="D62" s="32"/>
      <c r="E62" s="32"/>
      <c r="F62" s="32"/>
      <c r="G62" s="32"/>
    </row>
    <row r="63">
      <c r="A63" s="73"/>
      <c r="B63" s="74"/>
      <c r="C63" s="32"/>
      <c r="D63" s="32"/>
      <c r="E63" s="32"/>
      <c r="F63" s="32"/>
      <c r="G63" s="32"/>
    </row>
    <row r="64">
      <c r="A64" s="73"/>
      <c r="B64" s="74"/>
      <c r="C64" s="32"/>
      <c r="D64" s="32"/>
      <c r="E64" s="32"/>
      <c r="F64" s="32"/>
      <c r="G64" s="32"/>
    </row>
    <row r="65">
      <c r="A65" s="73"/>
      <c r="B65" s="74"/>
      <c r="C65" s="32"/>
      <c r="D65" s="32"/>
      <c r="E65" s="32"/>
      <c r="F65" s="32"/>
      <c r="G65" s="32"/>
    </row>
    <row r="66">
      <c r="A66" s="73"/>
      <c r="B66" s="74"/>
      <c r="C66" s="32"/>
      <c r="D66" s="32"/>
      <c r="E66" s="32"/>
      <c r="F66" s="32"/>
      <c r="G66" s="32"/>
    </row>
    <row r="67">
      <c r="A67" s="73"/>
      <c r="B67" s="74"/>
      <c r="C67" s="32"/>
      <c r="D67" s="32"/>
      <c r="E67" s="32"/>
      <c r="F67" s="32"/>
      <c r="G67" s="32"/>
    </row>
    <row r="68">
      <c r="A68" s="73"/>
      <c r="B68" s="74"/>
      <c r="C68" s="32"/>
      <c r="D68" s="32"/>
      <c r="E68" s="32"/>
      <c r="F68" s="32"/>
      <c r="G68" s="32"/>
    </row>
    <row r="69">
      <c r="A69" s="73"/>
      <c r="B69" s="74"/>
      <c r="C69" s="32"/>
      <c r="D69" s="32"/>
      <c r="E69" s="32"/>
      <c r="F69" s="32"/>
      <c r="G69" s="32"/>
    </row>
    <row r="70">
      <c r="A70" s="73"/>
      <c r="B70" s="74"/>
      <c r="C70" s="32"/>
      <c r="D70" s="32"/>
      <c r="E70" s="32"/>
      <c r="F70" s="32"/>
      <c r="G70" s="32"/>
    </row>
    <row r="71">
      <c r="A71" s="73"/>
      <c r="B71" s="74"/>
      <c r="C71" s="32"/>
      <c r="D71" s="32"/>
      <c r="E71" s="32"/>
      <c r="F71" s="32"/>
      <c r="G71" s="32"/>
    </row>
    <row r="72">
      <c r="A72" s="73"/>
      <c r="B72" s="74"/>
      <c r="C72" s="32"/>
      <c r="D72" s="32"/>
      <c r="E72" s="32"/>
      <c r="F72" s="32"/>
      <c r="G72" s="32"/>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124.88"/>
  </cols>
  <sheetData>
    <row r="1">
      <c r="A1" s="73"/>
    </row>
    <row r="2">
      <c r="A2" s="73"/>
    </row>
    <row r="3">
      <c r="A3" s="73"/>
    </row>
    <row r="4">
      <c r="A4" s="73"/>
    </row>
    <row r="5">
      <c r="A5" s="73"/>
    </row>
    <row r="6">
      <c r="A6" s="73"/>
    </row>
    <row r="7">
      <c r="A7" s="73"/>
    </row>
    <row r="8">
      <c r="A8" s="73"/>
    </row>
    <row r="9">
      <c r="A9" s="73"/>
    </row>
    <row r="10">
      <c r="A10" s="73"/>
    </row>
    <row r="11">
      <c r="A11" s="73"/>
    </row>
    <row r="12">
      <c r="A12" s="73"/>
    </row>
    <row r="13">
      <c r="A13" s="73"/>
    </row>
    <row r="14">
      <c r="A14" s="73"/>
    </row>
    <row r="15">
      <c r="A15" s="73"/>
    </row>
    <row r="16">
      <c r="A16" s="73"/>
    </row>
    <row r="17">
      <c r="A17" s="73"/>
    </row>
    <row r="18">
      <c r="A18" s="73"/>
    </row>
    <row r="19">
      <c r="A19" s="73"/>
    </row>
    <row r="20">
      <c r="A20" s="73"/>
    </row>
    <row r="21">
      <c r="A21" s="73"/>
    </row>
    <row r="22">
      <c r="A22" s="73"/>
    </row>
    <row r="23">
      <c r="A23" s="73"/>
    </row>
    <row r="24">
      <c r="A24" s="73"/>
    </row>
    <row r="25">
      <c r="A25" s="73"/>
    </row>
    <row r="26">
      <c r="A26" s="73"/>
    </row>
    <row r="27">
      <c r="A27" s="73"/>
    </row>
    <row r="28">
      <c r="A28" s="73"/>
    </row>
    <row r="29">
      <c r="A29" s="73"/>
    </row>
    <row r="30">
      <c r="A30" s="73"/>
    </row>
    <row r="31">
      <c r="A31" s="73"/>
    </row>
    <row r="32">
      <c r="A32" s="73"/>
    </row>
    <row r="33">
      <c r="A33" s="73"/>
    </row>
    <row r="34">
      <c r="A34" s="73"/>
    </row>
    <row r="35">
      <c r="A35" s="73"/>
    </row>
    <row r="36">
      <c r="A36" s="7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6" t="s">
        <v>124</v>
      </c>
      <c r="B1" s="80" t="s">
        <v>125</v>
      </c>
      <c r="C1" s="48" t="s">
        <v>126</v>
      </c>
      <c r="D1" s="49" t="s">
        <v>127</v>
      </c>
      <c r="E1" s="49" t="s">
        <v>128</v>
      </c>
      <c r="F1" s="49" t="s">
        <v>129</v>
      </c>
      <c r="G1" s="49" t="s">
        <v>130</v>
      </c>
    </row>
    <row r="2">
      <c r="A2" s="50"/>
      <c r="B2" s="32"/>
      <c r="C2" s="32"/>
      <c r="D2" s="32"/>
      <c r="E2" s="32"/>
      <c r="F2" s="32"/>
      <c r="G2" s="32"/>
    </row>
    <row r="3">
      <c r="A3" s="52" t="s">
        <v>131</v>
      </c>
      <c r="B3" s="54"/>
      <c r="C3" s="54"/>
      <c r="D3" s="54"/>
      <c r="E3" s="54"/>
      <c r="F3" s="54"/>
      <c r="G3" s="54"/>
    </row>
    <row r="4">
      <c r="A4" s="50"/>
      <c r="B4" s="32"/>
      <c r="C4" s="32"/>
      <c r="D4" s="32"/>
      <c r="E4" s="32"/>
      <c r="F4" s="32"/>
      <c r="G4" s="32"/>
    </row>
    <row r="5">
      <c r="A5" s="55" t="s">
        <v>132</v>
      </c>
      <c r="B5" s="30"/>
      <c r="C5" s="30"/>
      <c r="D5" s="57">
        <f>sum(D8:D13)</f>
        <v>0</v>
      </c>
      <c r="E5" s="57">
        <f>D5</f>
        <v>0</v>
      </c>
      <c r="F5" s="30"/>
      <c r="G5" s="30"/>
    </row>
    <row r="6">
      <c r="A6" s="50"/>
      <c r="B6" s="32"/>
      <c r="C6" s="32"/>
      <c r="D6" s="32"/>
      <c r="E6" s="32"/>
      <c r="F6" s="32"/>
      <c r="G6" s="32"/>
    </row>
    <row r="7">
      <c r="A7" s="58" t="s">
        <v>133</v>
      </c>
      <c r="B7" s="81"/>
      <c r="C7" s="60"/>
      <c r="D7" s="60"/>
      <c r="E7" s="60"/>
      <c r="F7" s="60"/>
      <c r="G7" s="60"/>
    </row>
    <row r="8">
      <c r="A8" s="50"/>
      <c r="B8" s="32"/>
      <c r="C8" s="32"/>
      <c r="D8" s="32"/>
      <c r="E8" s="61" t="s">
        <v>134</v>
      </c>
      <c r="F8" s="32"/>
      <c r="G8" s="61" t="s">
        <v>135</v>
      </c>
    </row>
    <row r="9">
      <c r="A9" s="62">
        <v>1.0</v>
      </c>
      <c r="B9" s="30"/>
      <c r="C9" s="30"/>
      <c r="D9" s="57">
        <f>sum(D16:D21)</f>
        <v>0</v>
      </c>
      <c r="E9" s="57">
        <f>$D$5</f>
        <v>0</v>
      </c>
      <c r="F9" s="57">
        <f>sum(F16:F21)</f>
        <v>0</v>
      </c>
      <c r="G9" s="57">
        <f>$D$5</f>
        <v>0</v>
      </c>
    </row>
    <row r="10">
      <c r="A10" s="50">
        <f t="shared" ref="A10:A11" si="1">A9+1</f>
        <v>2</v>
      </c>
      <c r="B10" s="32"/>
      <c r="C10" s="32"/>
      <c r="D10" s="65">
        <f>sum(D22:D27)</f>
        <v>0</v>
      </c>
      <c r="E10" s="65">
        <f t="shared" ref="E10:E12" si="2">E9-D9</f>
        <v>0</v>
      </c>
      <c r="F10" s="65">
        <f>sum(F22:F27)</f>
        <v>0</v>
      </c>
      <c r="G10" s="65">
        <f t="shared" ref="G10:G12" si="3">G9-F9</f>
        <v>0</v>
      </c>
    </row>
    <row r="11">
      <c r="A11" s="62">
        <f t="shared" si="1"/>
        <v>3</v>
      </c>
      <c r="B11" s="30"/>
      <c r="C11" s="30"/>
      <c r="D11" s="57">
        <f>sum(D28:D33)</f>
        <v>0</v>
      </c>
      <c r="E11" s="57">
        <f t="shared" si="2"/>
        <v>0</v>
      </c>
      <c r="F11" s="57">
        <f>sum(F28:F33)</f>
        <v>0</v>
      </c>
      <c r="G11" s="57">
        <f t="shared" si="3"/>
        <v>0</v>
      </c>
    </row>
    <row r="12">
      <c r="A12" s="79" t="s">
        <v>173</v>
      </c>
      <c r="B12" s="32"/>
      <c r="C12" s="32"/>
      <c r="D12" s="32"/>
      <c r="E12" s="65">
        <f t="shared" si="2"/>
        <v>0</v>
      </c>
      <c r="F12" s="32"/>
      <c r="G12" s="65">
        <f t="shared" si="3"/>
        <v>0</v>
      </c>
    </row>
    <row r="13">
      <c r="A13" s="62"/>
      <c r="B13" s="30"/>
      <c r="C13" s="30"/>
      <c r="D13" s="30"/>
      <c r="E13" s="30"/>
      <c r="F13" s="30"/>
      <c r="G13" s="30"/>
    </row>
    <row r="14">
      <c r="A14" s="66" t="s">
        <v>136</v>
      </c>
      <c r="B14" s="67"/>
      <c r="C14" s="68"/>
      <c r="D14" s="68"/>
      <c r="E14" s="68"/>
      <c r="F14" s="68"/>
      <c r="G14" s="68"/>
    </row>
    <row r="15">
      <c r="A15" s="62"/>
      <c r="B15" s="30"/>
      <c r="C15" s="30"/>
      <c r="D15" s="30"/>
      <c r="E15" s="30"/>
      <c r="F15" s="30"/>
      <c r="G15" s="30"/>
    </row>
    <row r="16">
      <c r="A16" s="69">
        <f>A9</f>
        <v>1</v>
      </c>
      <c r="B16" s="32"/>
      <c r="C16" s="32"/>
      <c r="D16" s="32"/>
      <c r="E16" s="32"/>
      <c r="F16" s="32"/>
      <c r="G16" s="32"/>
    </row>
    <row r="17">
      <c r="A17" s="62"/>
      <c r="B17" s="71"/>
      <c r="C17" s="30"/>
      <c r="D17" s="30"/>
      <c r="E17" s="30"/>
      <c r="F17" s="30"/>
      <c r="G17" s="30"/>
    </row>
    <row r="18">
      <c r="A18" s="50"/>
      <c r="B18" s="82"/>
      <c r="C18" s="74"/>
      <c r="D18" s="83"/>
      <c r="E18" s="51"/>
      <c r="F18" s="83"/>
      <c r="G18" s="51"/>
    </row>
    <row r="19">
      <c r="A19" s="62"/>
      <c r="B19" s="30"/>
      <c r="C19" s="30"/>
      <c r="D19" s="57"/>
      <c r="E19" s="30"/>
      <c r="F19" s="57"/>
      <c r="G19" s="30"/>
    </row>
    <row r="20">
      <c r="A20" s="73"/>
      <c r="B20" s="32"/>
      <c r="C20" s="74"/>
      <c r="D20" s="65"/>
      <c r="E20" s="74"/>
      <c r="F20" s="65"/>
      <c r="G20" s="74"/>
    </row>
    <row r="21">
      <c r="A21" s="62"/>
      <c r="B21" s="30"/>
      <c r="C21" s="30"/>
      <c r="D21" s="57"/>
      <c r="E21" s="30"/>
      <c r="F21" s="57"/>
      <c r="G21" s="30"/>
    </row>
    <row r="22">
      <c r="A22" s="69">
        <f>A10</f>
        <v>2</v>
      </c>
      <c r="B22" s="32"/>
      <c r="C22" s="32"/>
      <c r="D22" s="32"/>
      <c r="E22" s="32"/>
      <c r="F22" s="32"/>
      <c r="G22" s="32"/>
    </row>
    <row r="23">
      <c r="A23" s="62"/>
      <c r="B23" s="71"/>
      <c r="C23" s="30"/>
      <c r="D23" s="30"/>
      <c r="E23" s="30"/>
      <c r="F23" s="30"/>
      <c r="G23" s="30"/>
    </row>
    <row r="24">
      <c r="A24" s="73"/>
      <c r="B24" s="32"/>
      <c r="C24" s="74"/>
      <c r="D24" s="65"/>
      <c r="E24" s="74"/>
      <c r="F24" s="65"/>
      <c r="G24" s="74"/>
    </row>
    <row r="25">
      <c r="A25" s="62"/>
      <c r="B25" s="30"/>
      <c r="C25" s="30"/>
      <c r="D25" s="57"/>
      <c r="E25" s="30"/>
      <c r="F25" s="57"/>
      <c r="G25" s="30"/>
    </row>
    <row r="26">
      <c r="A26" s="73"/>
      <c r="B26" s="32"/>
      <c r="C26" s="74"/>
      <c r="D26" s="65"/>
      <c r="E26" s="74"/>
      <c r="F26" s="65"/>
      <c r="G26" s="74"/>
    </row>
    <row r="27">
      <c r="A27" s="62"/>
      <c r="B27" s="30"/>
      <c r="C27" s="30"/>
      <c r="D27" s="57"/>
      <c r="E27" s="30"/>
      <c r="F27" s="57"/>
      <c r="G27" s="30"/>
    </row>
    <row r="28">
      <c r="A28" s="69">
        <f>A11</f>
        <v>3</v>
      </c>
      <c r="B28" s="32"/>
      <c r="C28" s="32"/>
      <c r="D28" s="32"/>
      <c r="E28" s="32"/>
      <c r="F28" s="32"/>
      <c r="G28" s="32"/>
    </row>
    <row r="29">
      <c r="A29" s="62"/>
      <c r="B29" s="71"/>
      <c r="C29" s="30"/>
      <c r="D29" s="30"/>
      <c r="E29" s="30"/>
      <c r="F29" s="30"/>
      <c r="G29" s="30"/>
    </row>
    <row r="30">
      <c r="A30" s="73"/>
      <c r="B30" s="32"/>
      <c r="C30" s="74"/>
      <c r="D30" s="65"/>
      <c r="E30" s="74"/>
      <c r="F30" s="74"/>
      <c r="G30" s="74"/>
    </row>
    <row r="31">
      <c r="A31" s="62"/>
      <c r="B31" s="30"/>
      <c r="C31" s="30"/>
      <c r="D31" s="57"/>
      <c r="E31" s="30"/>
      <c r="F31" s="30"/>
      <c r="G31" s="30"/>
    </row>
    <row r="32">
      <c r="A32" s="73"/>
      <c r="B32" s="32"/>
      <c r="C32" s="32"/>
      <c r="D32" s="65"/>
      <c r="E32" s="74"/>
      <c r="F32" s="74"/>
      <c r="G32" s="74"/>
    </row>
    <row r="33">
      <c r="A33" s="62"/>
      <c r="B33" s="30"/>
      <c r="C33" s="84" t="s">
        <v>174</v>
      </c>
      <c r="D33" s="57"/>
      <c r="E33" s="30"/>
      <c r="F33" s="30"/>
      <c r="G33" s="30"/>
    </row>
    <row r="34">
      <c r="A34" s="73"/>
      <c r="B34" s="32"/>
      <c r="C34" s="32"/>
      <c r="D34" s="32"/>
      <c r="E34" s="32"/>
      <c r="F34" s="32"/>
      <c r="G34" s="32"/>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85" t="s">
        <v>65</v>
      </c>
      <c r="B1" s="47" t="s">
        <v>175</v>
      </c>
      <c r="C1" s="47" t="s">
        <v>176</v>
      </c>
      <c r="D1" s="86" t="s">
        <v>177</v>
      </c>
    </row>
    <row r="2">
      <c r="A2" s="3"/>
      <c r="B2" s="2" t="s">
        <v>178</v>
      </c>
      <c r="C2" s="2" t="s">
        <v>179</v>
      </c>
      <c r="D2" s="2" t="s">
        <v>180</v>
      </c>
    </row>
    <row r="3">
      <c r="A3" s="3"/>
      <c r="B3" s="2" t="s">
        <v>181</v>
      </c>
      <c r="C3" s="2" t="s">
        <v>182</v>
      </c>
      <c r="D3" s="2" t="s">
        <v>183</v>
      </c>
    </row>
    <row r="4">
      <c r="A4" s="3"/>
      <c r="B4" s="2" t="s">
        <v>184</v>
      </c>
      <c r="C4" s="2" t="s">
        <v>185</v>
      </c>
      <c r="D4" s="2" t="s">
        <v>186</v>
      </c>
    </row>
    <row r="5">
      <c r="A5" s="3"/>
      <c r="B5" s="2" t="s">
        <v>187</v>
      </c>
      <c r="C5" s="3"/>
      <c r="D5" s="3"/>
    </row>
    <row r="6">
      <c r="A6" s="3"/>
      <c r="B6" s="2" t="s">
        <v>188</v>
      </c>
      <c r="C6" s="3"/>
      <c r="D6" s="3"/>
    </row>
    <row r="7">
      <c r="A7" s="3"/>
      <c r="B7" s="2" t="s">
        <v>189</v>
      </c>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190</v>
      </c>
      <c r="B1" s="4" t="s">
        <v>191</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9.5"/>
    <col customWidth="1" min="5" max="5" width="12.63"/>
    <col customWidth="1" min="6" max="6" width="37.63"/>
  </cols>
  <sheetData>
    <row r="1">
      <c r="A1" s="35" t="s">
        <v>65</v>
      </c>
      <c r="B1" s="35" t="s">
        <v>192</v>
      </c>
      <c r="C1" s="35" t="s">
        <v>193</v>
      </c>
      <c r="D1" s="35" t="s">
        <v>194</v>
      </c>
      <c r="E1" s="35" t="s">
        <v>195</v>
      </c>
      <c r="F1" s="35" t="s">
        <v>72</v>
      </c>
    </row>
    <row r="2">
      <c r="A2" s="35">
        <v>1.0</v>
      </c>
      <c r="B2" s="35" t="s">
        <v>196</v>
      </c>
      <c r="C2" s="35" t="s">
        <v>197</v>
      </c>
      <c r="D2" s="35" t="s">
        <v>198</v>
      </c>
      <c r="E2" s="35" t="s">
        <v>199</v>
      </c>
      <c r="F2" s="3"/>
    </row>
    <row r="3">
      <c r="A3" s="35">
        <v>2.0</v>
      </c>
      <c r="B3" s="35" t="s">
        <v>196</v>
      </c>
      <c r="C3" s="35" t="s">
        <v>200</v>
      </c>
      <c r="D3" s="35" t="s">
        <v>198</v>
      </c>
      <c r="E3" s="35" t="s">
        <v>199</v>
      </c>
      <c r="F3" s="3"/>
    </row>
    <row r="4">
      <c r="A4" s="35">
        <v>3.0</v>
      </c>
      <c r="B4" s="35" t="s">
        <v>201</v>
      </c>
      <c r="C4" s="35" t="s">
        <v>202</v>
      </c>
      <c r="D4" s="35" t="s">
        <v>203</v>
      </c>
      <c r="E4" s="35" t="s">
        <v>204</v>
      </c>
    </row>
    <row r="5">
      <c r="A5" s="35">
        <v>4.0</v>
      </c>
      <c r="B5" s="35" t="s">
        <v>201</v>
      </c>
      <c r="C5" s="35" t="s">
        <v>205</v>
      </c>
      <c r="D5" s="35" t="s">
        <v>206</v>
      </c>
      <c r="E5" s="35" t="s">
        <v>204</v>
      </c>
    </row>
    <row r="6">
      <c r="A6" s="35">
        <v>5.0</v>
      </c>
      <c r="B6" s="35" t="s">
        <v>201</v>
      </c>
      <c r="C6" s="35" t="s">
        <v>207</v>
      </c>
      <c r="D6" s="35" t="s">
        <v>208</v>
      </c>
      <c r="E6" s="35" t="s">
        <v>204</v>
      </c>
    </row>
    <row r="7">
      <c r="A7" s="35">
        <v>6.0</v>
      </c>
      <c r="B7" s="35" t="s">
        <v>201</v>
      </c>
      <c r="C7" s="35" t="s">
        <v>209</v>
      </c>
      <c r="D7" s="35" t="s">
        <v>210</v>
      </c>
      <c r="E7" s="35" t="s">
        <v>199</v>
      </c>
    </row>
    <row r="8">
      <c r="A8" s="35">
        <v>7.0</v>
      </c>
      <c r="B8" s="35" t="s">
        <v>201</v>
      </c>
      <c r="C8" s="35" t="s">
        <v>211</v>
      </c>
      <c r="D8" s="35" t="s">
        <v>212</v>
      </c>
      <c r="E8" s="35" t="s">
        <v>213</v>
      </c>
    </row>
    <row r="9">
      <c r="A9" s="35">
        <v>8.0</v>
      </c>
      <c r="B9" s="35" t="s">
        <v>201</v>
      </c>
      <c r="C9" s="35" t="s">
        <v>214</v>
      </c>
      <c r="D9" s="35" t="s">
        <v>215</v>
      </c>
      <c r="E9" s="35" t="s">
        <v>204</v>
      </c>
    </row>
    <row r="10">
      <c r="A10" s="35">
        <v>9.0</v>
      </c>
      <c r="B10" s="35" t="s">
        <v>201</v>
      </c>
      <c r="C10" s="35" t="s">
        <v>216</v>
      </c>
      <c r="D10" s="35" t="s">
        <v>217</v>
      </c>
      <c r="E10" s="35" t="s">
        <v>218</v>
      </c>
    </row>
    <row r="11">
      <c r="A11" s="35">
        <v>10.0</v>
      </c>
      <c r="B11" s="35" t="s">
        <v>201</v>
      </c>
      <c r="C11" s="35" t="s">
        <v>219</v>
      </c>
      <c r="D11" s="35" t="s">
        <v>220</v>
      </c>
      <c r="E11" s="35" t="s">
        <v>221</v>
      </c>
    </row>
    <row r="12">
      <c r="A12" s="35">
        <v>11.0</v>
      </c>
      <c r="B12" s="35" t="s">
        <v>201</v>
      </c>
      <c r="C12" s="35" t="s">
        <v>222</v>
      </c>
      <c r="D12" s="35" t="s">
        <v>223</v>
      </c>
      <c r="E12" s="35" t="s">
        <v>221</v>
      </c>
    </row>
    <row r="13">
      <c r="A13" s="35">
        <v>12.0</v>
      </c>
      <c r="B13" s="35" t="s">
        <v>201</v>
      </c>
      <c r="C13" s="35" t="s">
        <v>224</v>
      </c>
      <c r="D13" s="35" t="s">
        <v>225</v>
      </c>
      <c r="E13" s="35" t="s">
        <v>199</v>
      </c>
    </row>
    <row r="14">
      <c r="A14" s="35">
        <v>13.0</v>
      </c>
      <c r="B14" s="35" t="s">
        <v>201</v>
      </c>
      <c r="C14" s="35" t="s">
        <v>226</v>
      </c>
      <c r="D14" s="35" t="s">
        <v>227</v>
      </c>
      <c r="E14" s="35" t="s">
        <v>199</v>
      </c>
    </row>
    <row r="15">
      <c r="A15" s="35">
        <v>14.0</v>
      </c>
      <c r="B15" s="35" t="s">
        <v>201</v>
      </c>
      <c r="C15" s="35" t="s">
        <v>228</v>
      </c>
      <c r="D15" s="35" t="s">
        <v>229</v>
      </c>
      <c r="E15" s="35" t="s">
        <v>230</v>
      </c>
    </row>
    <row r="16">
      <c r="A16" s="35">
        <v>15.0</v>
      </c>
      <c r="B16" s="35" t="s">
        <v>201</v>
      </c>
      <c r="C16" s="35" t="s">
        <v>231</v>
      </c>
      <c r="D16" s="35" t="s">
        <v>232</v>
      </c>
      <c r="E16" s="35" t="s">
        <v>199</v>
      </c>
    </row>
    <row r="17">
      <c r="A17" s="35">
        <v>16.0</v>
      </c>
      <c r="B17" s="35" t="s">
        <v>201</v>
      </c>
      <c r="C17" s="35" t="s">
        <v>233</v>
      </c>
      <c r="D17" s="35" t="s">
        <v>234</v>
      </c>
      <c r="E17" s="35" t="s">
        <v>235</v>
      </c>
    </row>
    <row r="18">
      <c r="A18" s="35">
        <v>17.0</v>
      </c>
      <c r="B18" s="35" t="s">
        <v>201</v>
      </c>
      <c r="C18" s="35" t="s">
        <v>236</v>
      </c>
      <c r="D18" s="35" t="s">
        <v>237</v>
      </c>
      <c r="E18" s="35" t="s">
        <v>238</v>
      </c>
    </row>
    <row r="19">
      <c r="A19" s="35">
        <v>18.0</v>
      </c>
      <c r="B19" s="35" t="s">
        <v>201</v>
      </c>
      <c r="C19" s="35" t="s">
        <v>239</v>
      </c>
      <c r="D19" s="35" t="s">
        <v>240</v>
      </c>
      <c r="E19" s="35" t="s">
        <v>204</v>
      </c>
    </row>
    <row r="20">
      <c r="A20" s="35">
        <v>19.0</v>
      </c>
      <c r="B20" s="35" t="s">
        <v>196</v>
      </c>
      <c r="C20" s="35" t="s">
        <v>241</v>
      </c>
      <c r="D20" s="35" t="s">
        <v>242</v>
      </c>
      <c r="E20" s="35" t="s">
        <v>199</v>
      </c>
    </row>
    <row r="21">
      <c r="A21" s="35">
        <v>20.0</v>
      </c>
      <c r="B21" s="35" t="s">
        <v>196</v>
      </c>
      <c r="C21" s="35" t="s">
        <v>243</v>
      </c>
      <c r="D21" s="35" t="s">
        <v>198</v>
      </c>
      <c r="E21" s="35" t="s">
        <v>199</v>
      </c>
    </row>
    <row r="22">
      <c r="A22" s="35">
        <v>21.0</v>
      </c>
      <c r="B22" s="35" t="s">
        <v>196</v>
      </c>
      <c r="C22" s="35" t="s">
        <v>244</v>
      </c>
      <c r="D22" s="35" t="s">
        <v>245</v>
      </c>
      <c r="E22" s="35" t="s">
        <v>199</v>
      </c>
    </row>
    <row r="23">
      <c r="A23" s="35">
        <v>22.0</v>
      </c>
      <c r="B23" s="35" t="s">
        <v>196</v>
      </c>
      <c r="C23" s="35" t="s">
        <v>246</v>
      </c>
      <c r="D23" s="35" t="s">
        <v>245</v>
      </c>
      <c r="E23" s="35" t="s">
        <v>247</v>
      </c>
    </row>
    <row r="24">
      <c r="A24" s="35">
        <v>23.0</v>
      </c>
      <c r="B24" s="35" t="s">
        <v>196</v>
      </c>
      <c r="C24" s="35" t="s">
        <v>248</v>
      </c>
      <c r="D24" s="35" t="s">
        <v>249</v>
      </c>
      <c r="E24" s="35" t="s">
        <v>199</v>
      </c>
    </row>
    <row r="25">
      <c r="A25" s="35">
        <v>24.0</v>
      </c>
      <c r="B25" s="35" t="s">
        <v>196</v>
      </c>
      <c r="C25" s="35" t="s">
        <v>250</v>
      </c>
      <c r="D25" s="35" t="s">
        <v>251</v>
      </c>
      <c r="E25" s="35" t="s">
        <v>199</v>
      </c>
    </row>
    <row r="26">
      <c r="A26" s="35">
        <v>25.0</v>
      </c>
      <c r="B26" s="35" t="s">
        <v>196</v>
      </c>
      <c r="C26" s="35" t="s">
        <v>252</v>
      </c>
      <c r="D26" s="35" t="s">
        <v>253</v>
      </c>
      <c r="E26" s="35" t="s">
        <v>199</v>
      </c>
    </row>
    <row r="27">
      <c r="A27" s="35">
        <v>26.0</v>
      </c>
      <c r="B27" s="35" t="s">
        <v>254</v>
      </c>
      <c r="C27" s="35" t="s">
        <v>255</v>
      </c>
      <c r="D27" s="35" t="s">
        <v>256</v>
      </c>
      <c r="E27" s="35" t="s">
        <v>199</v>
      </c>
    </row>
    <row r="28">
      <c r="A28" s="35">
        <v>27.0</v>
      </c>
      <c r="B28" s="35" t="s">
        <v>196</v>
      </c>
      <c r="C28" s="35" t="s">
        <v>257</v>
      </c>
      <c r="D28" s="35" t="s">
        <v>258</v>
      </c>
      <c r="E28" s="35" t="s">
        <v>199</v>
      </c>
    </row>
    <row r="29">
      <c r="A29" s="35">
        <v>28.0</v>
      </c>
      <c r="B29" s="35" t="s">
        <v>196</v>
      </c>
      <c r="C29" s="35" t="s">
        <v>259</v>
      </c>
      <c r="D29" s="35" t="s">
        <v>260</v>
      </c>
      <c r="E29" s="35" t="s">
        <v>199</v>
      </c>
    </row>
    <row r="30">
      <c r="A30" s="35">
        <v>29.0</v>
      </c>
      <c r="B30" s="35" t="s">
        <v>254</v>
      </c>
      <c r="C30" s="35" t="s">
        <v>261</v>
      </c>
      <c r="D30" s="35" t="s">
        <v>262</v>
      </c>
      <c r="E30" s="35" t="s">
        <v>199</v>
      </c>
    </row>
    <row r="31">
      <c r="A31" s="35">
        <v>30.0</v>
      </c>
      <c r="B31" s="35" t="s">
        <v>254</v>
      </c>
      <c r="C31" s="35" t="s">
        <v>263</v>
      </c>
      <c r="D31" s="35" t="s">
        <v>264</v>
      </c>
      <c r="E31" s="35" t="s">
        <v>235</v>
      </c>
    </row>
    <row r="32">
      <c r="A32" s="35">
        <v>31.0</v>
      </c>
      <c r="B32" s="35" t="s">
        <v>254</v>
      </c>
      <c r="C32" s="35" t="s">
        <v>265</v>
      </c>
      <c r="D32" s="35" t="s">
        <v>266</v>
      </c>
      <c r="E32" s="35" t="s">
        <v>267</v>
      </c>
    </row>
    <row r="33">
      <c r="A33" s="35">
        <v>32.0</v>
      </c>
      <c r="B33" s="35" t="s">
        <v>254</v>
      </c>
      <c r="C33" s="35" t="s">
        <v>268</v>
      </c>
      <c r="D33" s="35" t="s">
        <v>269</v>
      </c>
      <c r="E33" s="35" t="s">
        <v>199</v>
      </c>
    </row>
    <row r="34">
      <c r="A34" s="35">
        <v>33.0</v>
      </c>
      <c r="B34" s="35" t="s">
        <v>196</v>
      </c>
      <c r="C34" s="35" t="s">
        <v>270</v>
      </c>
      <c r="D34" s="35" t="s">
        <v>271</v>
      </c>
      <c r="E34" s="35" t="s">
        <v>199</v>
      </c>
    </row>
    <row r="35">
      <c r="A35" s="35">
        <v>34.0</v>
      </c>
      <c r="B35" s="35" t="s">
        <v>196</v>
      </c>
      <c r="C35" s="35" t="s">
        <v>272</v>
      </c>
      <c r="D35" s="35" t="s">
        <v>273</v>
      </c>
      <c r="E35" s="35" t="s">
        <v>235</v>
      </c>
    </row>
    <row r="36">
      <c r="A36" s="35">
        <v>35.0</v>
      </c>
      <c r="B36" s="35" t="s">
        <v>196</v>
      </c>
      <c r="C36" s="35" t="s">
        <v>274</v>
      </c>
      <c r="D36" s="35" t="s">
        <v>275</v>
      </c>
      <c r="E36" s="35" t="s">
        <v>199</v>
      </c>
    </row>
    <row r="37">
      <c r="A37" s="35">
        <v>36.0</v>
      </c>
      <c r="B37" s="35" t="s">
        <v>196</v>
      </c>
      <c r="C37" s="35" t="s">
        <v>276</v>
      </c>
      <c r="D37" s="35" t="s">
        <v>277</v>
      </c>
      <c r="E37" s="35" t="s">
        <v>199</v>
      </c>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87" t="str">
        <f>'Project Team'!A1</f>
        <v>Last Name</v>
      </c>
      <c r="B1" s="87" t="str">
        <f>'Project Team'!B1</f>
        <v>First Name</v>
      </c>
      <c r="C1" s="88" t="s">
        <v>278</v>
      </c>
      <c r="D1" s="89"/>
      <c r="E1" s="90"/>
      <c r="F1" s="91"/>
      <c r="G1" s="92"/>
      <c r="H1" s="92"/>
    </row>
    <row r="2">
      <c r="A2" s="93" t="str">
        <f>'Project Team'!A2</f>
        <v>Hilgers</v>
      </c>
      <c r="B2" s="93" t="str">
        <f>'Project Team'!B2</f>
        <v>Felix</v>
      </c>
      <c r="C2" s="94"/>
      <c r="D2" s="95"/>
      <c r="E2" s="96" t="str">
        <f>average(C2:C8)</f>
        <v>#DIV/0!</v>
      </c>
      <c r="F2" s="97" t="str">
        <f>if(stdev(C2:C6) &gt; 0,"NOK", "OK")</f>
        <v>#DIV/0!</v>
      </c>
      <c r="G2" s="98"/>
      <c r="H2" s="98"/>
    </row>
    <row r="3">
      <c r="A3" s="99"/>
      <c r="B3" s="99"/>
      <c r="C3" s="100"/>
      <c r="D3" s="101"/>
      <c r="G3" s="102"/>
      <c r="H3" s="102"/>
    </row>
    <row r="4">
      <c r="A4" s="93" t="str">
        <f>'Project Team'!A3</f>
        <v>Samdani</v>
      </c>
      <c r="B4" s="93" t="str">
        <f>'Project Team'!B3</f>
        <v>Sarib</v>
      </c>
      <c r="C4" s="103"/>
      <c r="D4" s="95"/>
      <c r="G4" s="98"/>
      <c r="H4" s="98"/>
    </row>
    <row r="5">
      <c r="A5" s="99" t="str">
        <f>'Project Team'!A4</f>
        <v>Chinbat</v>
      </c>
      <c r="B5" s="99" t="str">
        <f>'Project Team'!B4</f>
        <v>Anuun</v>
      </c>
      <c r="C5" s="103"/>
      <c r="D5" s="104"/>
      <c r="E5" s="104"/>
      <c r="F5" s="104"/>
      <c r="G5" s="102"/>
      <c r="H5" s="102"/>
    </row>
    <row r="6">
      <c r="A6" s="93" t="str">
        <f>'Project Team'!A7</f>
        <v>Badura</v>
      </c>
      <c r="B6" s="93" t="str">
        <f>'Project Team'!B7</f>
        <v>Emil</v>
      </c>
      <c r="C6" s="103"/>
      <c r="D6" s="105"/>
      <c r="E6" s="106">
        <v>0.0</v>
      </c>
      <c r="F6" s="107" t="s">
        <v>279</v>
      </c>
      <c r="G6" s="98"/>
      <c r="H6" s="98"/>
    </row>
    <row r="7">
      <c r="A7" s="99" t="str">
        <f>'Project Team'!A8</f>
        <v>Assenbaum</v>
      </c>
      <c r="B7" s="99" t="str">
        <f>'Project Team'!B8</f>
        <v>Paul</v>
      </c>
      <c r="C7" s="103"/>
      <c r="D7" s="104"/>
      <c r="E7" s="106">
        <v>1.0</v>
      </c>
      <c r="F7" s="107" t="s">
        <v>280</v>
      </c>
      <c r="G7" s="102"/>
      <c r="H7" s="102"/>
    </row>
    <row r="8">
      <c r="A8" s="93" t="str">
        <f>'Project Team'!A9</f>
        <v>Mantsch</v>
      </c>
      <c r="B8" s="93" t="str">
        <f>'Project Team'!B9</f>
        <v>Christoph</v>
      </c>
      <c r="C8" s="103"/>
      <c r="D8" s="105"/>
      <c r="E8" s="106">
        <v>2.0</v>
      </c>
      <c r="F8" s="107" t="s">
        <v>281</v>
      </c>
      <c r="G8" s="98"/>
      <c r="H8" s="98"/>
    </row>
    <row r="9">
      <c r="A9" s="108" t="s">
        <v>60</v>
      </c>
      <c r="B9" s="108" t="s">
        <v>61</v>
      </c>
      <c r="C9" s="103"/>
      <c r="D9" s="104"/>
      <c r="E9" s="106">
        <v>3.0</v>
      </c>
      <c r="F9" s="107" t="s">
        <v>282</v>
      </c>
      <c r="G9" s="102"/>
      <c r="H9" s="102"/>
    </row>
    <row r="10">
      <c r="D10" s="105"/>
      <c r="E10" s="106">
        <v>5.0</v>
      </c>
      <c r="F10" s="107" t="s">
        <v>283</v>
      </c>
      <c r="G10" s="98"/>
      <c r="H10" s="98"/>
    </row>
    <row r="11">
      <c r="A11" s="99" t="str">
        <f>'Project Team'!A5</f>
        <v>Goldschmidt</v>
      </c>
      <c r="B11" s="99" t="str">
        <f>'Project Team'!B5</f>
        <v>Georgina</v>
      </c>
      <c r="C11" s="100"/>
      <c r="D11" s="104"/>
      <c r="E11" s="106">
        <v>8.0</v>
      </c>
      <c r="F11" s="107" t="s">
        <v>284</v>
      </c>
      <c r="G11" s="102"/>
      <c r="H11" s="102"/>
    </row>
    <row r="12">
      <c r="A12" s="93" t="str">
        <f>'Project Team'!A6</f>
        <v>Zinn</v>
      </c>
      <c r="B12" s="109" t="s">
        <v>45</v>
      </c>
      <c r="C12" s="110"/>
      <c r="D12" s="105"/>
      <c r="E12" s="106">
        <v>13.0</v>
      </c>
      <c r="F12" s="107" t="s">
        <v>285</v>
      </c>
      <c r="G12" s="98"/>
      <c r="H12" s="98"/>
    </row>
    <row r="13">
      <c r="C13" s="104"/>
      <c r="D13" s="104"/>
      <c r="E13" s="104"/>
      <c r="F13" s="104"/>
      <c r="G13" s="102"/>
      <c r="H13" s="102"/>
    </row>
    <row r="14">
      <c r="A14" s="111" t="s">
        <v>286</v>
      </c>
      <c r="B14" s="112"/>
      <c r="C14" s="112"/>
      <c r="D14" s="112"/>
      <c r="E14" s="112"/>
      <c r="F14" s="112"/>
      <c r="G14" s="112"/>
      <c r="H14" s="112"/>
    </row>
    <row r="15">
      <c r="A15" s="113"/>
      <c r="B15" s="113"/>
      <c r="C15" s="113"/>
      <c r="D15" s="113"/>
      <c r="E15" s="113"/>
      <c r="F15" s="113"/>
      <c r="G15" s="113"/>
      <c r="H15" s="113"/>
    </row>
    <row r="16">
      <c r="A16" s="114" t="s">
        <v>287</v>
      </c>
      <c r="B16" s="115"/>
      <c r="C16" s="115"/>
      <c r="D16" s="115"/>
      <c r="E16" s="115"/>
      <c r="F16" s="115"/>
      <c r="G16" s="115"/>
      <c r="H16" s="115"/>
    </row>
    <row r="17">
      <c r="A17" s="116" t="s">
        <v>288</v>
      </c>
      <c r="B17" s="113"/>
      <c r="C17" s="113"/>
      <c r="D17" s="113"/>
      <c r="E17" s="113"/>
      <c r="F17" s="113"/>
      <c r="G17" s="113"/>
      <c r="H17" s="113"/>
    </row>
    <row r="18">
      <c r="A18" s="114" t="s">
        <v>289</v>
      </c>
      <c r="B18" s="115"/>
      <c r="C18" s="115"/>
      <c r="D18" s="115"/>
      <c r="E18" s="115"/>
      <c r="F18" s="115"/>
      <c r="G18" s="115"/>
      <c r="H18" s="115"/>
    </row>
    <row r="19">
      <c r="A19" s="113"/>
      <c r="B19" s="113"/>
      <c r="C19" s="113"/>
      <c r="D19" s="113"/>
      <c r="E19" s="113"/>
      <c r="F19" s="113"/>
      <c r="G19" s="117" t="s">
        <v>290</v>
      </c>
      <c r="H19" s="113"/>
    </row>
    <row r="20">
      <c r="A20" s="115"/>
      <c r="B20" s="115"/>
      <c r="C20" s="115"/>
      <c r="D20" s="115"/>
      <c r="E20" s="115"/>
      <c r="F20" s="115"/>
      <c r="G20" s="115"/>
      <c r="H20" s="115"/>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