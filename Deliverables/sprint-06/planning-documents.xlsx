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Data" sheetId="1" state="visible" r:id="rId1"/>
    <sheet name="Project Team" sheetId="2" state="visible" r:id="rId2"/>
    <sheet name="Role Assignments" sheetId="3" state="visible" r:id="rId3"/>
    <sheet name="Team Contract" sheetId="4" state="visible" r:id="rId4"/>
    <sheet name="Product Goal" sheetId="5" state="visible" r:id="rId5"/>
    <sheet name="Product Glossary" sheetId="6" state="visible" r:id="rId6"/>
    <sheet name="Sprint Goals" sheetId="7" state="visible" r:id="rId7"/>
    <sheet name="Velocity Tracking" sheetId="8" state="visible" r:id="rId8"/>
    <sheet name="Velocity Chart" sheetId="9" state="visible" r:id="rId9"/>
    <sheet name="Mid-Project Release plan" sheetId="10" state="visible" r:id="rId10"/>
    <sheet name="Burndown Chart" sheetId="11" state="visible" r:id="rId11"/>
    <sheet name="Final Project Release plan" sheetId="12" state="visible" r:id="rId12"/>
    <sheet name="Definition of Done" sheetId="13" state="visible" r:id="rId13"/>
    <sheet name="Documentation" sheetId="14" state="visible" r:id="rId14"/>
    <sheet name="Planning Poker" sheetId="15" state="visible" r:id="rId15"/>
    <sheet name="Bill of Materials" sheetId="16" state="visible" r:id="rId16"/>
  </sheets>
  <definedNames>
    <definedName name="Average">'Velocity Tracking'!$B$17</definedName>
  </definedNames>
  <calcPr calcId="124519" fullCalcOnLoad="1"/>
</workbook>
</file>

<file path=xl/styles.xml><?xml version="1.0" encoding="utf-8"?>
<styleSheet xmlns="http://schemas.openxmlformats.org/spreadsheetml/2006/main">
  <numFmts count="2">
    <numFmt numFmtId="164" formatCode="yyyy-mm-dd"/>
    <numFmt numFmtId="165" formatCode="yyyy&quot;-&quot;mm&quot;-&quot;dd"/>
  </numFmts>
  <fonts count="13">
    <font>
      <name val="Arial"/>
      <color rgb="FF000000"/>
      <sz val="10"/>
    </font>
    <font>
      <b val="1"/>
    </font>
    <font/>
    <font>
      <color rgb="FF0000FF"/>
      <u val="single"/>
    </font>
    <font>
      <color rgb="FF0000FF"/>
      <u val="single"/>
    </font>
    <font>
      <color rgb="FF0000FF"/>
      <u val="single"/>
    </font>
    <font>
      <color rgb="FF0000FF"/>
      <u val="single"/>
    </font>
    <font>
      <name val="Arial"/>
      <b val="1"/>
    </font>
    <font>
      <name val="Arial"/>
    </font>
    <font>
      <name val="Arial"/>
      <color rgb="FFFFFFFF"/>
    </font>
    <font>
      <name val="Calibri"/>
      <b val="1"/>
      <color rgb="FFFFFFFF"/>
      <sz val="11"/>
    </font>
    <font>
      <name val="Calibri"/>
      <color rgb="FF000000"/>
      <sz val="11"/>
    </font>
    <font>
      <name val="Arial"/>
      <b val="1"/>
      <sz val="24"/>
    </font>
  </fonts>
  <fills count="13">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4472C4"/>
        <bgColor rgb="FF4472C4"/>
      </patternFill>
    </fill>
    <fill>
      <patternFill patternType="solid">
        <fgColor rgb="FFD4EDDA"/>
        <bgColor rgb="FFD4EDDA"/>
      </patternFill>
    </fill>
    <fill>
      <patternFill patternType="solid">
        <fgColor rgb="FFFFF3CD"/>
        <bgColor rgb="FFFFF3CD"/>
      </patternFill>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25">
    <xf numFmtId="0" fontId="0" fillId="0" borderId="0" applyAlignment="1" pivotButton="0" quotePrefix="0" xfId="0">
      <alignment vertical="bottom" wrapText="1"/>
    </xf>
    <xf numFmtId="0" fontId="1" fillId="0" borderId="0" applyAlignment="1" pivotButton="0" quotePrefix="0" xfId="0">
      <alignment wrapText="1"/>
    </xf>
    <xf numFmtId="0" fontId="2" fillId="0" borderId="0" applyAlignment="1" pivotButton="0" quotePrefix="0" xfId="0">
      <alignment wrapText="1"/>
    </xf>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wrapText="1"/>
    </xf>
    <xf numFmtId="0" fontId="1" fillId="0" borderId="0" pivotButton="0" quotePrefix="0" xfId="0"/>
    <xf numFmtId="0" fontId="2" fillId="0" borderId="0" pivotButton="0" quotePrefix="0" xfId="0"/>
    <xf numFmtId="0" fontId="6" fillId="0" borderId="0" pivotButton="0" quotePrefix="0" xfId="0"/>
    <xf numFmtId="0" fontId="2" fillId="0" borderId="0" pivotButton="0" quotePrefix="0" xfId="0"/>
    <xf numFmtId="0" fontId="2" fillId="0" borderId="0" pivotButton="0" quotePrefix="0" xfId="0"/>
    <xf numFmtId="0" fontId="1"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xf>
    <xf numFmtId="0" fontId="1" fillId="0" borderId="0" applyAlignment="1" pivotButton="0" quotePrefix="0" xfId="0">
      <alignment horizontal="center"/>
    </xf>
    <xf numFmtId="0" fontId="1" fillId="0" borderId="0" applyAlignment="1" pivotButton="0" quotePrefix="0" xfId="0">
      <alignment horizontal="center"/>
    </xf>
    <xf numFmtId="0" fontId="2" fillId="0" borderId="0" applyAlignment="1" pivotButton="0" quotePrefix="0" xfId="0">
      <alignment horizontal="center"/>
    </xf>
    <xf numFmtId="164" fontId="2" fillId="0" borderId="0" pivotButton="0" quotePrefix="0" xfId="0"/>
    <xf numFmtId="0" fontId="2" fillId="0" borderId="0" applyAlignment="1" pivotButton="0" quotePrefix="0" xfId="0">
      <alignment horizontal="left"/>
    </xf>
    <xf numFmtId="164" fontId="2" fillId="0" borderId="0" pivotButton="0" quotePrefix="0" xfId="0"/>
    <xf numFmtId="165" fontId="2" fillId="0" borderId="0" applyAlignment="1" pivotButton="0" quotePrefix="0" xfId="0">
      <alignment horizontal="left"/>
    </xf>
    <xf numFmtId="165" fontId="2" fillId="0" borderId="0" pivotButton="0" quotePrefix="0" xfId="0"/>
    <xf numFmtId="165" fontId="2" fillId="0" borderId="0" applyAlignment="1" pivotButton="0" quotePrefix="0" xfId="0">
      <alignment horizontal="left"/>
    </xf>
    <xf numFmtId="165" fontId="2" fillId="0" borderId="0" applyAlignment="1" pivotButton="0" quotePrefix="0" xfId="0">
      <alignment horizontal="left"/>
    </xf>
    <xf numFmtId="0" fontId="2" fillId="0" borderId="0" applyAlignment="1" pivotButton="0" quotePrefix="0" xfId="0">
      <alignment horizontal="left"/>
    </xf>
    <xf numFmtId="0" fontId="7" fillId="3" borderId="0" applyAlignment="1" pivotButton="0" quotePrefix="0" xfId="0">
      <alignment vertical="bottom" wrapText="1"/>
    </xf>
    <xf numFmtId="0" fontId="8" fillId="3" borderId="0" applyAlignment="1" pivotButton="0" quotePrefix="0" xfId="0">
      <alignment vertical="bottom" wrapText="1"/>
    </xf>
    <xf numFmtId="0" fontId="8" fillId="4" borderId="0" applyAlignment="1" pivotButton="0" quotePrefix="0" xfId="0">
      <alignment vertical="bottom" wrapText="1"/>
    </xf>
    <xf numFmtId="0" fontId="8" fillId="4" borderId="0" applyAlignment="1" pivotButton="0" quotePrefix="0" xfId="0">
      <alignment vertical="bottom" wrapText="1"/>
    </xf>
    <xf numFmtId="0" fontId="7" fillId="3" borderId="0" applyAlignment="1" pivotButton="0" quotePrefix="0" xfId="0">
      <alignment vertical="bottom" wrapText="1"/>
    </xf>
    <xf numFmtId="0" fontId="8" fillId="3" borderId="0" applyAlignment="1" pivotButton="0" quotePrefix="0" xfId="0">
      <alignment vertical="bottom" wrapText="1"/>
    </xf>
    <xf numFmtId="0" fontId="7" fillId="3" borderId="0" applyAlignment="1" pivotButton="0" quotePrefix="0" xfId="0">
      <alignment vertical="bottom" wrapText="1"/>
    </xf>
    <xf numFmtId="0" fontId="2" fillId="0" borderId="0" applyAlignment="1" pivotButton="0" quotePrefix="0" xfId="0">
      <alignment wrapText="1"/>
    </xf>
    <xf numFmtId="0" fontId="2" fillId="0" borderId="0" applyAlignment="1" pivotButton="0" quotePrefix="0" xfId="0">
      <alignment wrapText="1"/>
    </xf>
    <xf numFmtId="0" fontId="1" fillId="2"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wrapText="1"/>
    </xf>
    <xf numFmtId="0" fontId="8" fillId="4" borderId="0" applyAlignment="1" pivotButton="0" quotePrefix="0" xfId="0">
      <alignment vertical="top" wrapText="1"/>
    </xf>
    <xf numFmtId="0" fontId="1" fillId="0" borderId="0" applyAlignment="1" pivotButton="0" quotePrefix="0" xfId="0">
      <alignment wrapText="1"/>
    </xf>
    <xf numFmtId="0" fontId="1" fillId="0" borderId="0" applyAlignment="1" pivotButton="0" quotePrefix="0" xfId="0">
      <alignment horizontal="left" wrapText="1"/>
    </xf>
    <xf numFmtId="0" fontId="2" fillId="0" borderId="0" applyAlignment="1" pivotButton="0" quotePrefix="0" xfId="0">
      <alignment horizontal="left" wrapText="1"/>
    </xf>
    <xf numFmtId="0" fontId="2" fillId="0" borderId="0" applyAlignment="1" pivotButton="0" quotePrefix="0" xfId="0">
      <alignment horizontal="left" wrapText="1"/>
    </xf>
    <xf numFmtId="0" fontId="1" fillId="0" borderId="0" applyAlignment="1" pivotButton="0" quotePrefix="0" xfId="0">
      <alignment wrapText="1"/>
    </xf>
    <xf numFmtId="0" fontId="1" fillId="5" borderId="0" applyAlignment="1" pivotButton="0" quotePrefix="0" xfId="0">
      <alignment wrapText="1"/>
    </xf>
    <xf numFmtId="0" fontId="7" fillId="2" borderId="0" applyAlignment="1" pivotButton="0" quotePrefix="0" xfId="0">
      <alignment horizontal="left" vertical="bottom" wrapText="1"/>
    </xf>
    <xf numFmtId="0" fontId="7" fillId="2" borderId="0" applyAlignment="1" pivotButton="0" quotePrefix="0" xfId="0">
      <alignment vertical="bottom"/>
    </xf>
    <xf numFmtId="0" fontId="7" fillId="2" borderId="0" applyAlignment="1" pivotButton="0" quotePrefix="0" xfId="0">
      <alignment vertical="bottom"/>
    </xf>
    <xf numFmtId="0" fontId="7" fillId="2" borderId="0" applyAlignment="1" pivotButton="0" quotePrefix="0" xfId="0">
      <alignment horizontal="center"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7" fillId="6" borderId="0" applyAlignment="1" pivotButton="0" quotePrefix="0" xfId="0">
      <alignment horizontal="left" vertical="bottom"/>
    </xf>
    <xf numFmtId="0" fontId="8" fillId="6" borderId="0" applyAlignment="1" pivotButton="0" quotePrefix="0" xfId="0">
      <alignment vertical="bottom"/>
    </xf>
    <xf numFmtId="0" fontId="8" fillId="6" borderId="0" applyAlignment="1" pivotButton="0" quotePrefix="0" xfId="0">
      <alignment vertical="bottom" wrapText="1"/>
    </xf>
    <xf numFmtId="0" fontId="7" fillId="4" borderId="0" applyAlignment="1" pivotButton="0" quotePrefix="0" xfId="0">
      <alignment vertical="bottom"/>
    </xf>
    <xf numFmtId="0" fontId="2" fillId="0" borderId="0" pivotButton="0" quotePrefix="0" xfId="0"/>
    <xf numFmtId="0" fontId="8" fillId="4" borderId="0" applyAlignment="1" pivotButton="0" quotePrefix="0" xfId="0">
      <alignment horizontal="right" vertical="bottom"/>
    </xf>
    <xf numFmtId="0" fontId="7" fillId="7" borderId="0" applyAlignment="1" pivotButton="0" quotePrefix="0" xfId="0">
      <alignment horizontal="left" vertical="bottom"/>
    </xf>
    <xf numFmtId="0" fontId="7" fillId="7" borderId="0" applyAlignment="1" pivotButton="0" quotePrefix="0" xfId="0">
      <alignment vertical="bottom"/>
    </xf>
    <xf numFmtId="0" fontId="8" fillId="7" borderId="0" applyAlignment="1" pivotButton="0" quotePrefix="0" xfId="0">
      <alignment vertical="bottom" wrapText="1"/>
    </xf>
    <xf numFmtId="0" fontId="9" fillId="3" borderId="0" applyAlignment="1" pivotButton="0" quotePrefix="0" xfId="0">
      <alignment horizontal="center" vertical="bottom"/>
    </xf>
    <xf numFmtId="0" fontId="8" fillId="4" borderId="0" applyAlignment="1" pivotButton="0" quotePrefix="0" xfId="0">
      <alignment horizontal="left" vertical="bottom" wrapText="1"/>
    </xf>
    <xf numFmtId="0" fontId="7" fillId="4" borderId="0" applyAlignment="1" pivotButton="0" quotePrefix="0" xfId="0">
      <alignment vertical="bottom"/>
    </xf>
    <xf numFmtId="0" fontId="7" fillId="0" borderId="0" applyAlignment="1" pivotButton="0" quotePrefix="0" xfId="0">
      <alignment vertical="bottom"/>
    </xf>
    <xf numFmtId="0" fontId="8" fillId="3" borderId="0" applyAlignment="1" pivotButton="0" quotePrefix="0" xfId="0">
      <alignment horizontal="right" vertical="bottom"/>
    </xf>
    <xf numFmtId="0" fontId="7" fillId="8" borderId="0" applyAlignment="1" pivotButton="0" quotePrefix="0" xfId="0">
      <alignment horizontal="left" vertical="bottom"/>
    </xf>
    <xf numFmtId="0" fontId="7" fillId="8" borderId="0" applyAlignment="1" pivotButton="0" quotePrefix="0" xfId="0">
      <alignment vertical="bottom"/>
    </xf>
    <xf numFmtId="0" fontId="8" fillId="8" borderId="0" applyAlignment="1" pivotButton="0" quotePrefix="0" xfId="0">
      <alignment vertical="bottom" wrapText="1"/>
    </xf>
    <xf numFmtId="0" fontId="7" fillId="3" borderId="0" applyAlignment="1" pivotButton="0" quotePrefix="0" xfId="0">
      <alignment horizontal="left" vertical="bottom"/>
    </xf>
    <xf numFmtId="0" fontId="7" fillId="3" borderId="0" applyAlignment="1" pivotButton="0" quotePrefix="0" xfId="0">
      <alignment vertical="bottom"/>
    </xf>
    <xf numFmtId="0" fontId="8" fillId="4" borderId="0" applyAlignment="1" pivotButton="0" quotePrefix="0" xfId="0">
      <alignment vertical="bottom"/>
    </xf>
    <xf numFmtId="0" fontId="8" fillId="4" borderId="0" applyAlignment="1" pivotButton="0" quotePrefix="0" xfId="0">
      <alignment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8" fillId="3" borderId="0" applyAlignment="1" pivotButton="0" quotePrefix="0" xfId="0">
      <alignment vertical="bottom"/>
    </xf>
    <xf numFmtId="0" fontId="8" fillId="3" borderId="0" applyAlignment="1" pivotButton="0" quotePrefix="0" xfId="0">
      <alignment horizontal="right" vertical="bottom"/>
    </xf>
    <xf numFmtId="0" fontId="8" fillId="4" borderId="0" applyAlignment="1" pivotButton="0" quotePrefix="0" xfId="0">
      <alignment horizontal="right" vertical="bottom"/>
    </xf>
    <xf numFmtId="0" fontId="2" fillId="0" borderId="0" pivotButton="0" quotePrefix="0" xfId="0"/>
    <xf numFmtId="0" fontId="8" fillId="3" borderId="0" applyAlignment="1" pivotButton="0" quotePrefix="0" xfId="0">
      <alignment horizontal="left" vertical="bottom" wrapText="1"/>
    </xf>
    <xf numFmtId="0" fontId="7" fillId="2" borderId="0" applyAlignment="1" pivotButton="0" quotePrefix="0" xfId="0">
      <alignment vertical="bottom" wrapText="1"/>
    </xf>
    <xf numFmtId="0" fontId="7" fillId="7" borderId="0" applyAlignment="1" pivotButton="0" quotePrefix="0" xfId="0">
      <alignment vertical="bottom"/>
    </xf>
    <xf numFmtId="0" fontId="8" fillId="3" borderId="0" applyAlignment="1" pivotButton="0" quotePrefix="0" xfId="0">
      <alignment vertical="bottom" wrapText="1"/>
    </xf>
    <xf numFmtId="0" fontId="8" fillId="3" borderId="0" applyAlignment="1" pivotButton="0" quotePrefix="0" xfId="0">
      <alignment horizontal="right" vertical="bottom"/>
    </xf>
    <xf numFmtId="0" fontId="1" fillId="5" borderId="0" pivotButton="0" quotePrefix="0" xfId="0"/>
    <xf numFmtId="0" fontId="7" fillId="2" borderId="0" applyAlignment="1" pivotButton="0" quotePrefix="0" xfId="0">
      <alignment vertical="bottom" wrapText="1"/>
    </xf>
    <xf numFmtId="0" fontId="7" fillId="2" borderId="0" applyAlignment="1" pivotButton="0" quotePrefix="0" xfId="0">
      <alignment vertical="bottom"/>
    </xf>
    <xf numFmtId="0" fontId="10" fillId="9" borderId="1" applyAlignment="1" pivotButton="0" quotePrefix="0" xfId="0">
      <alignment horizontal="center"/>
    </xf>
    <xf numFmtId="0" fontId="11" fillId="10" borderId="1" applyAlignment="1" pivotButton="0" quotePrefix="0" xfId="0">
      <alignment horizontal="left" wrapText="1"/>
    </xf>
    <xf numFmtId="0" fontId="11" fillId="10"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4" fontId="7" fillId="2" borderId="0" applyAlignment="1" pivotButton="0" quotePrefix="0" xfId="0">
      <alignment vertical="center" wrapText="1"/>
    </xf>
    <xf numFmtId="4" fontId="8" fillId="2" borderId="0" applyAlignment="1" pivotButton="0" quotePrefix="0" xfId="0">
      <alignment vertical="center" wrapText="1"/>
    </xf>
    <xf numFmtId="0" fontId="8" fillId="2" borderId="0" applyAlignment="1" pivotButton="0" quotePrefix="0" xfId="0">
      <alignment vertical="center" wrapText="1"/>
    </xf>
    <xf numFmtId="0" fontId="1" fillId="2" borderId="0" applyAlignment="1" pivotButton="0" quotePrefix="0" xfId="0">
      <alignment vertical="center" wrapText="1"/>
    </xf>
    <xf numFmtId="0" fontId="7" fillId="3" borderId="0" applyAlignment="1" pivotButton="0" quotePrefix="0" xfId="0">
      <alignment vertical="center" wrapText="1"/>
    </xf>
    <xf numFmtId="0" fontId="8" fillId="5" borderId="0" applyAlignment="1" pivotButton="0" quotePrefix="0" xfId="0">
      <alignment horizontal="center" vertical="center" wrapText="1"/>
    </xf>
    <xf numFmtId="4" fontId="8" fillId="3" borderId="0" applyAlignment="1" pivotButton="0" quotePrefix="0" xfId="0">
      <alignment vertical="center" wrapText="1"/>
    </xf>
    <xf numFmtId="4" fontId="12" fillId="8" borderId="0" applyAlignment="1" pivotButton="0" quotePrefix="0" xfId="0">
      <alignment horizontal="center" vertical="center" wrapText="1"/>
    </xf>
    <xf numFmtId="0" fontId="12" fillId="8" borderId="0" applyAlignment="1" pivotButton="0" quotePrefix="0" xfId="0">
      <alignment horizontal="center" vertical="center" wrapText="1"/>
    </xf>
    <xf numFmtId="0" fontId="2" fillId="3" borderId="0" applyAlignment="1" pivotButton="0" quotePrefix="0" xfId="0">
      <alignment vertical="center" wrapText="1"/>
    </xf>
    <xf numFmtId="0" fontId="7" fillId="4" borderId="0" applyAlignment="1" pivotButton="0" quotePrefix="0" xfId="0">
      <alignment vertical="center" wrapText="1"/>
    </xf>
    <xf numFmtId="4" fontId="8" fillId="4" borderId="0" applyAlignment="1" pivotButton="0" quotePrefix="0" xfId="0">
      <alignment vertical="center" wrapText="1"/>
    </xf>
    <xf numFmtId="0" fontId="2" fillId="4" borderId="0" applyAlignment="1" pivotButton="0" quotePrefix="0" xfId="0">
      <alignment vertical="center" wrapText="1"/>
    </xf>
    <xf numFmtId="0" fontId="8" fillId="4" borderId="0" applyAlignment="1" pivotButton="0" quotePrefix="0" xfId="0">
      <alignment vertical="center" wrapText="1"/>
    </xf>
    <xf numFmtId="0" fontId="8" fillId="3" borderId="0" applyAlignment="1" pivotButton="0" quotePrefix="0" xfId="0">
      <alignment vertical="center" wrapText="1"/>
    </xf>
    <xf numFmtId="0" fontId="8" fillId="7" borderId="0" applyAlignment="1" pivotButton="0" quotePrefix="0" xfId="0">
      <alignment horizontal="center" vertical="center" wrapText="1"/>
    </xf>
    <xf numFmtId="0" fontId="8" fillId="7" borderId="0" applyAlignment="1" pivotButton="0" quotePrefix="0" xfId="0">
      <alignment vertical="center" wrapText="1"/>
    </xf>
    <xf numFmtId="0" fontId="2" fillId="4" borderId="0" applyAlignment="1" pivotButton="0" quotePrefix="0" xfId="0">
      <alignment wrapText="1"/>
    </xf>
    <xf numFmtId="0" fontId="7" fillId="4" borderId="0" applyAlignment="1" pivotButton="0" quotePrefix="0" xfId="0">
      <alignment vertical="center" wrapText="1"/>
    </xf>
    <xf numFmtId="0" fontId="2" fillId="5" borderId="0" applyAlignment="1" pivotButton="0" quotePrefix="0" xfId="0">
      <alignment wrapText="1"/>
    </xf>
    <xf numFmtId="0" fontId="8" fillId="3" borderId="0" applyAlignment="1" pivotButton="0" quotePrefix="0" xfId="0">
      <alignment horizontal="center" vertical="center" wrapText="1"/>
    </xf>
    <xf numFmtId="0" fontId="1" fillId="3" borderId="0" pivotButton="0" quotePrefix="0" xfId="0"/>
    <xf numFmtId="0" fontId="1" fillId="3" borderId="0" pivotButton="0" quotePrefix="0" xfId="0"/>
    <xf numFmtId="0" fontId="2" fillId="4" borderId="0" pivotButton="0" quotePrefix="0" xfId="0"/>
    <xf numFmtId="0" fontId="2" fillId="3" borderId="0" pivotButton="0" quotePrefix="0" xfId="0"/>
    <xf numFmtId="0" fontId="2" fillId="3" borderId="0" pivotButton="0" quotePrefix="0" xfId="0"/>
    <xf numFmtId="0" fontId="2" fillId="4" borderId="0" pivotButton="0" quotePrefix="0" xfId="0"/>
    <xf numFmtId="0" fontId="2" fillId="4" borderId="0" pivotButton="0" quotePrefix="0" xfId="0"/>
    <xf numFmtId="0" fontId="0" fillId="0" borderId="0" pivotButton="0" quotePrefix="0" xfId="0"/>
    <xf numFmtId="0" fontId="0" fillId="12" borderId="0" pivotButton="0" quotePrefix="0" xfId="0"/>
  </cellXfs>
  <cellStyles count="1">
    <cellStyle name="Normal" xfId="0" builtinId="0"/>
  </cellStyles>
  <dxfs count="4">
    <dxf>
      <font/>
      <fill>
        <patternFill/>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3" defaultTableStyle="TableStyleMedium9" defaultPivotStyle="PivotStyleLight16">
    <tableStyle name="Project Data-style" pivot="0" count="3">
      <tableStyleElement type="headerRow" dxfId="1"/>
      <tableStyleElement type="firstRowStripe" dxfId="2"/>
      <tableStyleElement type="secondRowStripe" dxfId="3"/>
    </tableStyle>
    <tableStyle name="Project Team-style" pivot="0" count="3">
      <tableStyleElement type="headerRow" dxfId="1"/>
      <tableStyleElement type="firstRowStripe" dxfId="2"/>
      <tableStyleElement type="secondRowStripe" dxfId="3"/>
    </tableStyle>
    <tableStyle name="Role Assignments-style" pivot="0" count="3">
      <tableStyleElement type="headerRow" dxfId="1"/>
      <tableStyleElement type="firstRowStripe" dxfId="2"/>
      <tableStyleElement type="secondRowStripe" dxfId="3"/>
    </tableStyle>
    <tableStyle name="Team Contract-style" pivot="0" count="3">
      <tableStyleElement type="headerRow" dxfId="1"/>
      <tableStyleElement type="firstRowStripe" dxfId="2"/>
      <tableStyleElement type="secondRowStripe" dxfId="3"/>
    </tableStyle>
    <tableStyle name="Product Glossary-style" pivot="0" count="3">
      <tableStyleElement type="headerRow" dxfId="1"/>
      <tableStyleElement type="firstRowStripe" dxfId="2"/>
      <tableStyleElement type="secondRowStripe" dxfId="3"/>
    </tableStyle>
    <tableStyle name="Sprint Goals-style" pivot="0" count="3">
      <tableStyleElement type="headerRow" dxfId="1"/>
      <tableStyleElement type="firstRowStripe" dxfId="2"/>
      <tableStyleElement type="secondRowStripe" dxfId="3"/>
    </tableStyle>
    <tableStyle name="Velocity Tracking-style" pivot="0" count="3">
      <tableStyleElement type="headerRow" dxfId="1"/>
      <tableStyleElement type="firstRowStripe" dxfId="2"/>
      <tableStyleElement type="secondRowStripe" dxfId="3"/>
    </tableStyle>
    <tableStyle name="Mid-Project Release plan-style" pivot="0" count="3">
      <tableStyleElement type="headerRow" dxfId="1"/>
      <tableStyleElement type="firstRowStripe" dxfId="2"/>
      <tableStyleElement type="secondRowStripe" dxfId="3"/>
    </tableStyle>
    <tableStyle name="Burndown Chart-style" pivot="0" count="3">
      <tableStyleElement type="headerRow" dxfId="1"/>
      <tableStyleElement type="firstRowStripe" dxfId="2"/>
      <tableStyleElement type="secondRowStripe" dxfId="3"/>
    </tableStyle>
    <tableStyle name="Final Project Release plan-style" pivot="0" count="3">
      <tableStyleElement type="headerRow" dxfId="1"/>
      <tableStyleElement type="firstRowStripe" dxfId="2"/>
      <tableStyleElement type="secondRowStripe" dxfId="3"/>
    </tableStyle>
    <tableStyle name="Definition of Done-style" pivot="0" count="3">
      <tableStyleElement type="headerRow" dxfId="1"/>
      <tableStyleElement type="firstRowStripe" dxfId="2"/>
      <tableStyleElement type="secondRowStripe" dxfId="3"/>
    </tableStyle>
    <tableStyle name="Documentation-style" pivot="0" count="3">
      <tableStyleElement type="headerRow" dxfId="1"/>
      <tableStyleElement type="firstRowStripe" dxfId="2"/>
      <tableStyleElement type="secondRowStripe" dxfId="3"/>
    </tableStyle>
    <tableStyle name="Bill of Materials-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Velocity Chart</a:t>
            </a:r>
          </a:p>
        </rich>
      </tx>
      <overlay val="0"/>
    </title>
    <plotArea>
      <layout/>
      <barChart>
        <barDir val="col"/>
        <grouping val="stacked"/>
        <ser>
          <idx val="0"/>
          <order val="0"/>
          <tx>
            <strRef>
              <f>'Velocity Tracking'!$B$1</f>
            </strRef>
          </tx>
          <spPr>
            <a:solidFill>
              <a:srgbClr val="4285F4"/>
            </a:solidFill>
            <a:ln cmpd="sng">
              <a:solidFill>
                <a:srgbClr val="000000"/>
              </a:solidFill>
              <a:prstDash val="solid"/>
            </a:ln>
          </spPr>
          <cat>
            <strRef>
              <f>'Velocity Tracking'!$A$2:$A$16</f>
            </strRef>
          </cat>
          <val>
            <numRef>
              <f>'Velocity Tracking'!$B$2:$B$16</f>
              <numCache/>
            </numRef>
          </val>
        </ser>
        <gapWidth val="150"/>
        <overlap val="100"/>
        <axId val="539671783"/>
        <axId val="71239164"/>
      </barChart>
      <lineChart>
        <grouping val="standard"/>
        <varyColors val="0"/>
        <ser>
          <idx val="1"/>
          <order val="1"/>
          <tx>
            <strRef>
              <f>'Velocity Chart'!$A$1</f>
            </strRef>
          </tx>
          <spPr>
            <a:ln cmpd="sng">
              <a:solidFill>
                <a:srgbClr val="DB4437"/>
              </a:solidFill>
              <a:prstDash val="solid"/>
            </a:ln>
          </spPr>
          <marker>
            <symbol val="none"/>
            <spPr>
              <a:ln>
                <a:prstDash val="solid"/>
              </a:ln>
            </spPr>
          </marker>
          <dPt>
            <idx val="14"/>
            <marker>
              <symbol val="none"/>
              <spPr>
                <a:ln>
                  <a:prstDash val="solid"/>
                </a:ln>
              </spPr>
            </marker>
            <spPr>
              <a:ln>
                <a:prstDash val="solid"/>
              </a:ln>
            </spPr>
          </dPt>
          <cat>
            <strRef>
              <f>'Velocity Tracking'!$A$2:$A$16</f>
            </strRef>
          </cat>
          <val>
            <numRef>
              <f>'Velocity Chart'!$A$2:$A$16</f>
              <numCache/>
            </numRef>
          </val>
          <smooth val="0"/>
        </ser>
        <axId val="539671783"/>
        <axId val="71239164"/>
      </lineChart>
      <catAx>
        <axId val="539671783"/>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prstDash val="solid"/>
          </a:ln>
        </spPr>
        <txPr>
          <a:bodyPr/>
          <a:lstStyle/>
          <a:p>
            <a:pPr lvl="0">
              <a:defRPr b="0">
                <a:solidFill>
                  <a:srgbClr val="000000"/>
                </a:solidFill>
                <a:latin typeface="Roboto"/>
              </a:defRPr>
            </a:pPr>
            <a:r>
              <a:t>None</a:t>
            </a:r>
          </a:p>
        </txPr>
        <crossAx val="71239164"/>
        <lblOffset val="100"/>
      </catAx>
      <valAx>
        <axId val="71239164"/>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Roboto"/>
              </a:defRPr>
            </a:pPr>
            <a:r>
              <a:t>None</a:t>
            </a:r>
          </a:p>
        </txPr>
        <crossAx val="539671783"/>
      </valAx>
    </plotArea>
    <legend>
      <legendPos val="r"/>
      <overlay val="0"/>
      <txPr>
        <a:bodyPr/>
        <a:lstStyle/>
        <a:p>
          <a:pPr lvl="0">
            <a:defRPr b="0">
              <a:solidFill>
                <a:srgbClr val="000000"/>
              </a:solidFill>
              <a:latin typeface="Roboto"/>
            </a:defRPr>
          </a:pPr>
          <a:r>
            <a:t>None</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Burndown Chart</a:t>
            </a:r>
          </a:p>
        </rich>
      </tx>
      <overlay val="0"/>
    </title>
    <plotArea>
      <layout/>
      <barChart>
        <barDir val="col"/>
        <grouping val="clustered"/>
        <ser>
          <idx val="0"/>
          <order val="0"/>
          <tx>
            <v>Estimated Size</v>
          </tx>
          <spPr>
            <a:solidFill>
              <a:srgbClr val="4285F4"/>
            </a:solidFill>
            <a:ln cmpd="sng">
              <a:solidFill>
                <a:srgbClr val="000000"/>
              </a:solidFill>
              <a:prstDash val="solid"/>
            </a:ln>
          </spPr>
          <dLbls>
            <numFmt formatCode="General"/>
            <txPr>
              <a:bodyPr/>
              <a:lstStyle/>
              <a:p>
                <a:pPr lvl="0">
                  <a:defRPr/>
                </a:pPr>
                <a:r>
                  <a:t>None</a:t>
                </a:r>
              </a:p>
            </txPr>
            <showLegendKey val="0"/>
            <showVal val="1"/>
            <showCatName val="0"/>
            <showSerName val="0"/>
            <showPercent val="0"/>
            <showBubbleSize val="0"/>
          </dLbls>
          <cat>
            <strRef>
              <f>'Mid-Project Release plan'!$A$9:$A$14</f>
            </strRef>
          </cat>
          <val>
            <numRef>
              <f>'Mid-Project Release plan'!$E$9:$E$14</f>
              <numCache/>
            </numRef>
          </val>
        </ser>
        <ser>
          <idx val="1"/>
          <order val="1"/>
          <tx>
            <v>Real Size</v>
          </tx>
          <spPr>
            <a:solidFill>
              <a:srgbClr val="DB4437"/>
            </a:solidFill>
            <a:ln cmpd="sng">
              <a:solidFill>
                <a:srgbClr val="000000"/>
              </a:solidFill>
              <a:prstDash val="solid"/>
            </a:ln>
          </spPr>
          <trendline name="Development Speed">
            <spPr>
              <a:ln w="19050">
                <a:solidFill>
                  <a:srgbClr val="000000"/>
                </a:solidFill>
                <a:prstDash val="solid"/>
              </a:ln>
            </spPr>
            <trendlineType val="linear"/>
            <dispRSqr val="0"/>
            <dispEq val="0"/>
          </trendline>
          <cat>
            <strRef>
              <f>'Mid-Project Release plan'!$A$9:$A$14</f>
            </strRef>
          </cat>
          <val>
            <numRef>
              <f>'Mid-Project Release plan'!$E$9:$E$14</f>
              <numCache/>
            </numRef>
          </val>
        </ser>
        <gapWidth val="150"/>
        <axId val="1450297649"/>
        <axId val="1264535362"/>
      </barChart>
      <catAx>
        <axId val="1450297649"/>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prstDash val="solid"/>
          </a:ln>
        </spPr>
        <txPr>
          <a:bodyPr/>
          <a:lstStyle/>
          <a:p>
            <a:pPr lvl="0">
              <a:defRPr b="0">
                <a:solidFill>
                  <a:srgbClr val="000000"/>
                </a:solidFill>
                <a:latin typeface="Roboto"/>
              </a:defRPr>
            </a:pPr>
            <a:r>
              <a:t>None</a:t>
            </a:r>
          </a:p>
        </txPr>
        <crossAx val="1264535362"/>
        <lblOffset val="100"/>
      </catAx>
      <valAx>
        <axId val="126453536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Roboto"/>
              </a:defRPr>
            </a:pPr>
            <a:r>
              <a:t>None</a:t>
            </a:r>
          </a:p>
        </txPr>
        <crossAx val="1450297649"/>
      </valAx>
    </plotArea>
    <legend>
      <legendPos val="r"/>
      <overlay val="0"/>
      <txPr>
        <a:bodyPr/>
        <a:lstStyle/>
        <a:p>
          <a:pPr lvl="0">
            <a:defRPr b="0">
              <a:solidFill>
                <a:srgbClr val="000000"/>
              </a:solidFill>
              <a:latin typeface="Roboto"/>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0363200" cy="63436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9496425" cy="58578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ables/table1.xml><?xml version="1.0" encoding="utf-8"?>
<table xmlns="http://schemas.openxmlformats.org/spreadsheetml/2006/main" id="1" name="Table_1" displayName="Table_1" ref="A1:B20" headerRowCount="1">
  <tableColumns count="2">
    <tableColumn id="1" name="Project Name"/>
    <tableColumn id="2" name="Robot Visual Perception"/>
  </tableColumns>
  <tableStyleInfo name="Project Data-style" showFirstColumn="1" showLastColumn="1" showRowStripes="1" showColumnStripes="0"/>
</table>
</file>

<file path=xl/tables/table2.xml><?xml version="1.0" encoding="utf-8"?>
<table xmlns="http://schemas.openxmlformats.org/spreadsheetml/2006/main" id="2" name="Table_2" displayName="Table_2" ref="A1:D19" headerRowCount="1">
  <tableColumns count="4">
    <tableColumn id="1" name="Last Name"/>
    <tableColumn id="2" name="First Name"/>
    <tableColumn id="3" name="GitHub User Name"/>
    <tableColumn id="4" name="Email Address"/>
  </tableColumns>
  <tableStyleInfo name="Project Team-style" showFirstColumn="1" showLastColumn="1" showRowStripes="1" showColumnStripes="0"/>
</table>
</file>

<file path=xl/tables/table3.xml><?xml version="1.0" encoding="utf-8"?>
<table xmlns="http://schemas.openxmlformats.org/spreadsheetml/2006/main" id="3" name="Table_3" displayName="Table_3" ref="A2:H21" headerRowCount="1">
  <tableColumns count="8">
    <tableColumn id="1" name="#"/>
    <tableColumn id="2" name="Meeting Day"/>
    <tableColumn id="3" name="Review"/>
    <tableColumn id="4" name="Planning"/>
    <tableColumn id="5" name="Software Developer"/>
    <tableColumn id="6" name="Release Manager"/>
    <tableColumn id="7" name="Scrum Master"/>
    <tableColumn id="8" name="Comment"/>
  </tableColumns>
  <tableStyleInfo name="Role Assignments-style" showFirstColumn="1" showLastColumn="1" showRowStripes="1" showColumnStripes="0"/>
</table>
</file>

<file path=xl/tables/table4.xml><?xml version="1.0" encoding="utf-8"?>
<table xmlns="http://schemas.openxmlformats.org/spreadsheetml/2006/main" id="4" name="Table_4" displayName="Table_4" ref="A1:B30" headerRowCount="1">
  <tableColumns count="2">
    <tableColumn id="1" name="Goals"/>
    <tableColumn id="2" name="Development of a visual perception system for robots with an accuracy of &gt;= 90%"/>
  </tableColumns>
  <tableStyleInfo name="Team Contract-style" showFirstColumn="1" showLastColumn="1" showRowStripes="1" showColumnStripes="0"/>
</table>
</file>

<file path=xl/tables/table5.xml><?xml version="1.0" encoding="utf-8"?>
<table xmlns="http://schemas.openxmlformats.org/spreadsheetml/2006/main" id="5" name="Table_5" displayName="Table_5" ref="A1:B20" headerRowCount="1">
  <tableColumns count="2">
    <tableColumn id="1" name="Term"/>
    <tableColumn id="2" name="Definition"/>
  </tableColumns>
  <tableStyleInfo name="Product Glossary-style" showFirstColumn="1" showLastColumn="1" showRowStripes="1" showColumnStripes="0"/>
</table>
</file>

<file path=xl/tables/table6.xml><?xml version="1.0" encoding="utf-8"?>
<table xmlns="http://schemas.openxmlformats.org/spreadsheetml/2006/main" id="6" name="Table_6" displayName="Table_6" ref="A1:B20" headerRowCount="1">
  <tableColumns count="2">
    <tableColumn id="1" name="Sprint #"/>
    <tableColumn id="2" name="Sprint goal"/>
  </tableColumns>
  <tableStyleInfo name="Sprint Goals-style" showFirstColumn="1" showLastColumn="1" showRowStripes="1" showColumnStripes="0"/>
</table>
</file>

<file path=xl/tables/table7.xml><?xml version="1.0" encoding="utf-8"?>
<table xmlns="http://schemas.openxmlformats.org/spreadsheetml/2006/main" id="7" name="Table_7" displayName="Table_7" ref="A1:B20" headerRowCount="1">
  <tableColumns count="2">
    <tableColumn id="1" name="Sprint #"/>
    <tableColumn id="2" name="Story Points Realized"/>
  </tableColumns>
  <tableStyleInfo name="Velocity Tracking-style" showFirstColumn="1" showLastColumn="1" showRowStripes="1" showColumnStripes="0"/>
</table>
</file>

<file path=xl/tables/table8.xml><?xml version="1.0" encoding="utf-8"?>
<table xmlns="http://schemas.openxmlformats.org/spreadsheetml/2006/main" id="8" name="Table_8" displayName="Table_8" ref="A1:G52"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Mid-Project Release plan-style" showFirstColumn="1" showLastColumn="1" showRowStripes="1" showColumnStripes="0"/>
</table>
</file>

<file path=xl/tables/table9.xml><?xml version="1.0" encoding="utf-8"?>
<table xmlns="http://schemas.openxmlformats.org/spreadsheetml/2006/main" id="9" name="Table_9" displayName="Table_9" ref="A1:A36" headerRowCount="0">
  <tableColumns count="1">
    <tableColumn id="1" name="Column1"/>
  </tableColumns>
  <tableStyleInfo name="Burndown Chart-style" showFirstColumn="1" showLastColumn="1" showRowStripes="1" showColumnStripes="0"/>
</table>
</file>

<file path=xl/tables/table10.xml><?xml version="1.0" encoding="utf-8"?>
<table xmlns="http://schemas.openxmlformats.org/spreadsheetml/2006/main" id="10" name="Table_10" displayName="Table_10" ref="A1:G34"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Final Project Release plan-style" showFirstColumn="1" showLastColumn="1" showRowStripes="1" showColumnStripes="0"/>
</table>
</file>

<file path=xl/tables/table11.xml><?xml version="1.0" encoding="utf-8"?>
<table xmlns="http://schemas.openxmlformats.org/spreadsheetml/2006/main" id="11" name="Table_11" displayName="Table_11" ref="A1:D20" headerRowCount="1">
  <tableColumns count="4">
    <tableColumn id="1" name="#"/>
    <tableColumn id="2" name="Feature Definition of Done"/>
    <tableColumn id="3" name="Sprint Release Definition of Done"/>
    <tableColumn id="4" name="Project Release Definition of Done"/>
  </tableColumns>
  <tableStyleInfo name="Definition of Done-style" showFirstColumn="1" showLastColumn="1" showRowStripes="1" showColumnStripes="0"/>
</table>
</file>

<file path=xl/tables/table12.xml><?xml version="1.0" encoding="utf-8"?>
<table xmlns="http://schemas.openxmlformats.org/spreadsheetml/2006/main" id="12" name="Table_12" displayName="Table_12" ref="A1:B20" headerRowCount="1">
  <tableColumns count="2">
    <tableColumn id="1" name="Type"/>
    <tableColumn id="2" name="Link / reference"/>
  </tableColumns>
  <tableStyleInfo name="Documentation-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au.zoom-x.de/j/62836031488" TargetMode="External" Id="rId1" /><Relationship Type="http://schemas.openxmlformats.org/officeDocument/2006/relationships/hyperlink" Target="https://github.com/amosproj/amos2025ws04-robot-visual-perception" TargetMode="External" Id="rId2" /><Relationship Type="http://schemas.openxmlformats.org/officeDocument/2006/relationships/hyperlink" Target="https://github.com/orgs/amosproj/projects/92" TargetMode="External" Id="rId3" /><Relationship Type="http://schemas.openxmlformats.org/officeDocument/2006/relationships/hyperlink" Target="https://github.com/orgs/amosproj/projects/95" TargetMode="External" Id="rId4" /><Relationship Type="http://schemas.openxmlformats.org/officeDocument/2006/relationships/hyperlink" Target="https://www.shirtinator.de/s/E_eIf-ElT4iidRVnqM8J5w" TargetMode="External" Id="rId5" /><Relationship Type="http://schemas.openxmlformats.org/officeDocument/2006/relationships/hyperlink" Target="https://www.shirtinator.de/s/R0CANDdWTRCOvCohq_encA" TargetMode="External" Id="rId6" /><Relationship Type="http://schemas.openxmlformats.org/officeDocument/2006/relationships/hyperlink" Target="https://discord.gg/VDqD2Zfb" TargetMode="External" Id="rId7" /><Relationship Type="http://schemas.openxmlformats.org/officeDocument/2006/relationships/hyperlink" Target="https://happy-amos.appspot.com/"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hyperlink" Target="http://anuun.ch/" TargetMode="External" Id="rId1" /><Relationship Type="http://schemas.openxmlformats.org/officeDocument/2006/relationships/table" Target="/xl/tables/table2.xml" Id="rId2"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9.xml" Id="rId2"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fitToPage="1"/>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Project Name</t>
        </is>
      </c>
      <c r="B1" s="35" t="inlineStr">
        <is>
          <t>Robot Visual Perception</t>
        </is>
      </c>
    </row>
    <row r="2">
      <c r="A2" s="44" t="n"/>
      <c r="B2" s="35" t="n"/>
    </row>
    <row r="3">
      <c r="A3" s="44" t="inlineStr">
        <is>
          <t>Online team meeting</t>
        </is>
      </c>
      <c r="B3" s="5" t="inlineStr">
        <is>
          <t>https://fau.zoom-x.de/j/62836031488</t>
        </is>
      </c>
    </row>
    <row r="4">
      <c r="A4" s="44" t="n"/>
      <c r="B4" s="35" t="n"/>
    </row>
    <row r="5">
      <c r="A5" s="44" t="inlineStr">
        <is>
          <t>Production system (if any)</t>
        </is>
      </c>
      <c r="B5" s="35" t="inlineStr">
        <is>
          <t>Service Provided (later in the Project)</t>
        </is>
      </c>
    </row>
    <row r="6">
      <c r="A6" s="44" t="inlineStr">
        <is>
          <t>Test system (if any)</t>
        </is>
      </c>
      <c r="B6" s="35" t="inlineStr">
        <is>
          <t>Local Webcam</t>
        </is>
      </c>
    </row>
    <row r="7">
      <c r="A7" s="44" t="n"/>
      <c r="B7" s="35" t="n"/>
    </row>
    <row r="8">
      <c r="A8" s="44" t="inlineStr">
        <is>
          <t>GitHub repository</t>
        </is>
      </c>
      <c r="B8" s="6" t="inlineStr">
        <is>
          <t>https://github.com/amosproj/amos2025ws04-robot-visual-perception</t>
        </is>
      </c>
    </row>
    <row r="9">
      <c r="A9" s="44" t="inlineStr">
        <is>
          <t>GitHub feature board</t>
        </is>
      </c>
      <c r="B9" s="6" t="inlineStr">
        <is>
          <t>https://github.com/orgs/amosproj/projects/92</t>
        </is>
      </c>
    </row>
    <row r="10">
      <c r="A10" s="44" t="inlineStr">
        <is>
          <t>GitHub imp-squared backlog</t>
        </is>
      </c>
      <c r="B10" s="6" t="inlineStr">
        <is>
          <t>https://github.com/orgs/amosproj/projects/95</t>
        </is>
      </c>
    </row>
    <row r="11">
      <c r="A11" s="44" t="n"/>
      <c r="B11" s="35" t="n"/>
    </row>
    <row r="12">
      <c r="A12" s="44" t="inlineStr">
        <is>
          <t>Team T-shirt (white)</t>
        </is>
      </c>
      <c r="B12" s="6" t="inlineStr">
        <is>
          <t>https://www.shirtinator.de/s/E_eIf-ElT4iidRVnqM8J5w</t>
        </is>
      </c>
    </row>
    <row r="13">
      <c r="A13" s="44" t="inlineStr">
        <is>
          <t>Team T-shirt (black)</t>
        </is>
      </c>
      <c r="B13" s="6" t="inlineStr">
        <is>
          <t>https://www.shirtinator.de/s/R0CANDdWTRCOvCohq_encA</t>
        </is>
      </c>
    </row>
    <row r="14">
      <c r="A14" s="44" t="n"/>
      <c r="B14" s="35" t="n"/>
    </row>
    <row r="15">
      <c r="A15" s="44" t="inlineStr">
        <is>
          <t>Additional materials</t>
        </is>
      </c>
      <c r="B15" s="6" t="inlineStr">
        <is>
          <t>https://discord.gg/VDqD2Zfb</t>
        </is>
      </c>
    </row>
    <row r="16">
      <c r="A16" s="44" t="n"/>
      <c r="B16" s="35" t="n"/>
    </row>
    <row r="17">
      <c r="A17" s="44" t="inlineStr">
        <is>
          <t>Team maling list</t>
        </is>
      </c>
      <c r="B17" s="35" t="inlineStr">
        <is>
          <t>oss-amos-proj4@lists.fau.de</t>
        </is>
      </c>
    </row>
    <row r="18">
      <c r="A18" s="44" t="n"/>
      <c r="B18" s="35" t="n"/>
    </row>
    <row r="19">
      <c r="A19" s="44" t="n"/>
      <c r="B19" s="7" t="inlineStr">
        <is>
          <t>https://happy-amos.appspot.com/</t>
        </is>
      </c>
    </row>
    <row r="20">
      <c r="A20" s="44" t="n"/>
      <c r="B20" s="35" t="inlineStr">
        <is>
          <t>Please use our mailing list for written communication. Only CC teachers (university) and coaches on specific topics, as the mailing lists are very long.</t>
        </is>
      </c>
    </row>
  </sheetData>
  <hyperlinks>
    <hyperlink xmlns:r="http://schemas.openxmlformats.org/officeDocument/2006/relationships" ref="B3"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2" r:id="rId5"/>
    <hyperlink xmlns:r="http://schemas.openxmlformats.org/officeDocument/2006/relationships" ref="B13" r:id="rId6"/>
    <hyperlink xmlns:r="http://schemas.openxmlformats.org/officeDocument/2006/relationships" ref="B15" r:id="rId7"/>
    <hyperlink xmlns:r="http://schemas.openxmlformats.org/officeDocument/2006/relationships" ref="B19" r:id="rId8"/>
  </hyperlink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2.75" customHeight="1"/>
  <cols>
    <col width="31.38" customWidth="1" style="123" min="1" max="4"/>
  </cols>
  <sheetData>
    <row r="1">
      <c r="A1" s="13" t="inlineStr">
        <is>
          <t>Last Name</t>
        </is>
      </c>
      <c r="B1" s="13" t="inlineStr">
        <is>
          <t>First Name</t>
        </is>
      </c>
      <c r="C1" s="13" t="inlineStr">
        <is>
          <t>GitHub User Name</t>
        </is>
      </c>
      <c r="D1" s="13" t="inlineStr">
        <is>
          <t>Email Address</t>
        </is>
      </c>
    </row>
    <row r="2">
      <c r="A2" s="78" t="inlineStr">
        <is>
          <t>Hilgers</t>
        </is>
      </c>
      <c r="B2" s="78" t="inlineStr">
        <is>
          <t>Felix</t>
        </is>
      </c>
      <c r="C2" s="78" t="inlineStr">
        <is>
          <t>fhilgers</t>
        </is>
      </c>
      <c r="D2" s="78" t="inlineStr">
        <is>
          <t>felix.hilgers@fau.de</t>
        </is>
      </c>
    </row>
    <row r="3">
      <c r="A3" s="78" t="inlineStr">
        <is>
          <t>Samdani</t>
        </is>
      </c>
      <c r="B3" s="78" t="inlineStr">
        <is>
          <t>Sarib</t>
        </is>
      </c>
      <c r="C3" s="78" t="inlineStr">
        <is>
          <t>saribx</t>
        </is>
      </c>
      <c r="D3" s="78" t="inlineStr">
        <is>
          <t>saribstudent@gmail.com</t>
        </is>
      </c>
    </row>
    <row r="4">
      <c r="A4" s="78" t="inlineStr">
        <is>
          <t>Chinbat</t>
        </is>
      </c>
      <c r="B4" s="78" t="inlineStr">
        <is>
          <t>Anuun</t>
        </is>
      </c>
      <c r="C4" s="78" t="inlineStr">
        <is>
          <t>anuunchin</t>
        </is>
      </c>
      <c r="D4" s="10" t="inlineStr">
        <is>
          <t>anuun.ch@gmail.com</t>
        </is>
      </c>
    </row>
    <row r="5">
      <c r="A5" s="78" t="inlineStr">
        <is>
          <t>Goldschmidt</t>
        </is>
      </c>
      <c r="B5" s="78" t="inlineStr">
        <is>
          <t>Georgina</t>
        </is>
      </c>
      <c r="C5" s="78" t="inlineStr">
        <is>
          <t>bu31punu</t>
        </is>
      </c>
      <c r="D5" s="78" t="inlineStr">
        <is>
          <t>dzsini.lost@gmail.com</t>
        </is>
      </c>
    </row>
    <row r="6">
      <c r="A6" s="78" t="inlineStr">
        <is>
          <t>Zinn</t>
        </is>
      </c>
      <c r="B6" s="78" t="inlineStr">
        <is>
          <t>Benedikt</t>
        </is>
      </c>
      <c r="C6" s="78" t="inlineStr">
        <is>
          <t>BenediktZinn</t>
        </is>
      </c>
      <c r="D6" s="78" t="inlineStr">
        <is>
          <t>benedikt.wh.zinn@gmail.com</t>
        </is>
      </c>
    </row>
    <row r="7">
      <c r="A7" s="78" t="inlineStr">
        <is>
          <t>Badura</t>
        </is>
      </c>
      <c r="B7" s="78" t="inlineStr">
        <is>
          <t>Emil</t>
        </is>
      </c>
      <c r="C7" s="78" t="inlineStr">
        <is>
          <t>Tenebrae311</t>
        </is>
      </c>
      <c r="D7" s="78" t="inlineStr">
        <is>
          <t>badura@tu-berlin.de</t>
        </is>
      </c>
    </row>
    <row r="8">
      <c r="A8" s="78" t="inlineStr">
        <is>
          <t>Assenbaum</t>
        </is>
      </c>
      <c r="B8" s="78" t="inlineStr">
        <is>
          <t>Paul</t>
        </is>
      </c>
      <c r="C8" s="78" t="inlineStr">
        <is>
          <t>Paul2607</t>
        </is>
      </c>
      <c r="D8" s="78" t="inlineStr">
        <is>
          <t>paul.assenbaum@fau.de</t>
        </is>
      </c>
    </row>
    <row r="9">
      <c r="A9" s="78" t="inlineStr">
        <is>
          <t>Mantsch</t>
        </is>
      </c>
      <c r="B9" s="78" t="inlineStr">
        <is>
          <t>Christoph</t>
        </is>
      </c>
      <c r="C9" s="78" t="inlineStr">
        <is>
          <t>Christoph-Mantsch</t>
        </is>
      </c>
      <c r="D9" s="78" t="inlineStr">
        <is>
          <t>christoph.cm.mantsch@fau.de</t>
        </is>
      </c>
    </row>
    <row r="10">
      <c r="A10" s="78" t="inlineStr">
        <is>
          <t>Asadi</t>
        </is>
      </c>
      <c r="B10" s="78" t="inlineStr">
        <is>
          <t>Zohreh</t>
        </is>
      </c>
      <c r="C10" s="78" t="inlineStr">
        <is>
          <t>zohrehasadi00</t>
        </is>
      </c>
      <c r="D10" s="78" t="inlineStr">
        <is>
          <t>z.asadi@campus.tu-berlin.de</t>
        </is>
      </c>
    </row>
    <row r="11">
      <c r="A11" s="78" t="n"/>
      <c r="B11" s="78" t="n"/>
      <c r="C11" s="78" t="n"/>
      <c r="D11" s="78" t="n"/>
    </row>
    <row r="12">
      <c r="A12" s="13" t="n"/>
      <c r="B12" s="13" t="n"/>
      <c r="C12" s="13" t="n"/>
      <c r="D12" s="13" t="n"/>
    </row>
    <row r="13">
      <c r="A13" s="78" t="n"/>
      <c r="B13" s="78" t="n"/>
      <c r="C13" s="78" t="n"/>
      <c r="D13" s="78" t="n"/>
    </row>
    <row r="14">
      <c r="A14" s="78" t="n"/>
      <c r="B14" s="78" t="n"/>
      <c r="C14" s="78" t="n"/>
      <c r="D14" s="78" t="n"/>
    </row>
    <row r="15">
      <c r="A15" s="78" t="n"/>
      <c r="B15" s="78" t="n"/>
      <c r="C15" s="78" t="n"/>
      <c r="D15" s="78" t="n"/>
    </row>
    <row r="16">
      <c r="A16" s="78" t="n"/>
      <c r="B16" s="78" t="n"/>
      <c r="C16" s="78" t="n"/>
      <c r="D16" s="78" t="n"/>
    </row>
    <row r="17">
      <c r="A17" s="78" t="n"/>
      <c r="B17" s="78" t="n"/>
      <c r="C17" s="78" t="n"/>
      <c r="D17" s="78" t="n"/>
    </row>
    <row r="18">
      <c r="A18" s="78" t="n"/>
      <c r="B18" s="78" t="n"/>
      <c r="C18" s="78" t="n"/>
      <c r="D18" s="78" t="n"/>
    </row>
    <row r="19">
      <c r="A19" s="78" t="n"/>
      <c r="B19" s="78" t="n"/>
      <c r="C19" s="78" t="n"/>
      <c r="D19" s="78" t="n"/>
    </row>
  </sheetData>
  <hyperlinks>
    <hyperlink xmlns:r="http://schemas.openxmlformats.org/officeDocument/2006/relationships" ref="D4"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0" summaryRight="0"/>
    <pageSetUpPr fitToPage="1"/>
  </sheetPr>
  <dimension ref="A1:H21"/>
  <sheetViews>
    <sheetView workbookViewId="0">
      <pane ySplit="2" topLeftCell="A3" activePane="bottomLeft" state="frozen"/>
      <selection pane="bottomLeft" activeCell="B4" sqref="B4"/>
    </sheetView>
  </sheetViews>
  <sheetFormatPr baseColWidth="8" defaultColWidth="12.63" defaultRowHeight="12.75" customHeight="1"/>
  <cols>
    <col width="5.5" customWidth="1" style="123" min="1" max="1"/>
    <col width="12.63" customWidth="1" style="123" min="2" max="2"/>
    <col width="18.88" customWidth="1" style="123" min="3" max="7"/>
    <col width="50.13" customWidth="1" style="123" min="8" max="8"/>
  </cols>
  <sheetData>
    <row r="1">
      <c r="A1" s="15" t="n"/>
      <c r="B1" s="15" t="n"/>
      <c r="C1" s="15" t="inlineStr">
        <is>
          <t>Product Owner</t>
        </is>
      </c>
      <c r="E1" s="15" t="n"/>
      <c r="F1" s="15" t="n"/>
      <c r="G1" s="15" t="n"/>
      <c r="H1" s="15" t="n"/>
    </row>
    <row r="2">
      <c r="A2" s="17" t="inlineStr">
        <is>
          <t>#</t>
        </is>
      </c>
      <c r="B2" s="17" t="inlineStr">
        <is>
          <t>Meeting Day</t>
        </is>
      </c>
      <c r="C2" s="17" t="inlineStr">
        <is>
          <t>Review</t>
        </is>
      </c>
      <c r="D2" s="17" t="inlineStr">
        <is>
          <t>Planning</t>
        </is>
      </c>
      <c r="E2" s="17" t="inlineStr">
        <is>
          <t>Software Developer</t>
        </is>
      </c>
      <c r="F2" s="17" t="inlineStr">
        <is>
          <t>Release Manager</t>
        </is>
      </c>
      <c r="G2" s="17" t="inlineStr">
        <is>
          <t>Scrum Master</t>
        </is>
      </c>
      <c r="H2" s="17" t="inlineStr">
        <is>
          <t>Comment</t>
        </is>
      </c>
    </row>
    <row r="3">
      <c r="A3" s="18" t="n">
        <v>1</v>
      </c>
      <c r="B3" s="21" t="n">
        <v>45952</v>
      </c>
      <c r="C3" s="78" t="inlineStr">
        <is>
          <t>Felix Hilgers</t>
        </is>
      </c>
      <c r="D3" s="78" t="inlineStr">
        <is>
          <t>Benedikt Zinn</t>
        </is>
      </c>
      <c r="E3" s="78" t="inlineStr">
        <is>
          <t>Everyone else</t>
        </is>
      </c>
      <c r="F3" s="78" t="inlineStr">
        <is>
          <t>Paul Assenbaum</t>
        </is>
      </c>
      <c r="G3" s="78" t="inlineStr">
        <is>
          <t>Georgina Goldschmidt</t>
        </is>
      </c>
      <c r="H3" s="26" t="inlineStr">
        <is>
          <t>(Tuesday 21. Discord for Release process example)</t>
        </is>
      </c>
    </row>
    <row r="4">
      <c r="A4" s="18" t="n">
        <v>2</v>
      </c>
      <c r="B4" s="21">
        <f>B3+7</f>
        <v/>
      </c>
      <c r="C4" s="78" t="inlineStr">
        <is>
          <t>Benedikt Zinn</t>
        </is>
      </c>
      <c r="D4" s="78" t="inlineStr">
        <is>
          <t>Felix Hilgers</t>
        </is>
      </c>
      <c r="E4" s="78" t="inlineStr">
        <is>
          <t>Everyone else</t>
        </is>
      </c>
      <c r="F4" s="78" t="inlineStr">
        <is>
          <t>Anuun Chinbat</t>
        </is>
      </c>
      <c r="G4" s="78" t="inlineStr">
        <is>
          <t>Georgina Goldschmidt</t>
        </is>
      </c>
      <c r="H4" s="25" t="n"/>
    </row>
    <row r="5">
      <c r="A5" s="18" t="n">
        <v>3</v>
      </c>
      <c r="B5" s="21">
        <f>B4+7</f>
        <v/>
      </c>
      <c r="C5" s="78" t="inlineStr">
        <is>
          <t>Benedikt Zinn</t>
        </is>
      </c>
      <c r="D5" s="78" t="inlineStr">
        <is>
          <t>Felix Hilgers</t>
        </is>
      </c>
      <c r="E5" s="78" t="inlineStr">
        <is>
          <t>Everyone else</t>
        </is>
      </c>
      <c r="F5" s="78" t="inlineStr">
        <is>
          <t>Sarib Samdani</t>
        </is>
      </c>
      <c r="G5" s="78" t="inlineStr">
        <is>
          <t>Georgina Goldschmidt</t>
        </is>
      </c>
      <c r="H5" s="25" t="n"/>
    </row>
    <row r="6">
      <c r="A6" s="18" t="n">
        <v>4</v>
      </c>
      <c r="B6" s="21">
        <f>B5+7</f>
        <v/>
      </c>
      <c r="C6" s="78" t="inlineStr">
        <is>
          <t>Felix Hilgers</t>
        </is>
      </c>
      <c r="D6" s="78" t="inlineStr">
        <is>
          <t>Benedikt Zinn</t>
        </is>
      </c>
      <c r="E6" s="78" t="inlineStr">
        <is>
          <t>Everyone else</t>
        </is>
      </c>
      <c r="F6" s="78" t="inlineStr">
        <is>
          <t>Sarib Samdani</t>
        </is>
      </c>
      <c r="G6" s="78" t="inlineStr">
        <is>
          <t>Georgina Goldschmidt</t>
        </is>
      </c>
      <c r="H6" s="25" t="n"/>
    </row>
    <row r="7">
      <c r="A7" s="18" t="n">
        <v>5</v>
      </c>
      <c r="B7" s="21">
        <f>B6+7</f>
        <v/>
      </c>
      <c r="C7" s="78" t="inlineStr">
        <is>
          <t>Felix Hilgers</t>
        </is>
      </c>
      <c r="D7" s="78" t="inlineStr">
        <is>
          <t>Benedikt Zinn</t>
        </is>
      </c>
      <c r="E7" s="78" t="inlineStr">
        <is>
          <t>Everyone else</t>
        </is>
      </c>
      <c r="F7" s="78" t="inlineStr">
        <is>
          <t>Anuun Chinbat</t>
        </is>
      </c>
      <c r="G7" s="78" t="inlineStr">
        <is>
          <t>Georgina Goldschmidt</t>
        </is>
      </c>
      <c r="H7" s="25" t="n"/>
    </row>
    <row r="8">
      <c r="A8" s="18" t="n">
        <v>6</v>
      </c>
      <c r="B8" s="21">
        <f>B7+7</f>
        <v/>
      </c>
      <c r="C8" s="78" t="inlineStr">
        <is>
          <t>Benedikt Zinn</t>
        </is>
      </c>
      <c r="D8" s="78" t="inlineStr">
        <is>
          <t>Felix Hilgers</t>
        </is>
      </c>
      <c r="E8" s="78" t="inlineStr">
        <is>
          <t>Everyone else</t>
        </is>
      </c>
      <c r="F8" s="78" t="inlineStr">
        <is>
          <t>Emil Badura</t>
        </is>
      </c>
      <c r="G8" s="78" t="inlineStr">
        <is>
          <t>Georgina Goldschmidt</t>
        </is>
      </c>
      <c r="H8" s="25" t="n"/>
    </row>
    <row r="9">
      <c r="A9" s="18" t="n">
        <v>7</v>
      </c>
      <c r="B9" s="21">
        <f>B8+7</f>
        <v/>
      </c>
      <c r="C9" s="78" t="inlineStr">
        <is>
          <t>Felix Hilgers</t>
        </is>
      </c>
      <c r="D9" s="78" t="inlineStr">
        <is>
          <t>Benedikt Zinn</t>
        </is>
      </c>
      <c r="E9" s="78" t="inlineStr">
        <is>
          <t>Everyone else</t>
        </is>
      </c>
      <c r="F9" s="78" t="inlineStr">
        <is>
          <t>Emil Badura</t>
        </is>
      </c>
      <c r="G9" s="78" t="inlineStr">
        <is>
          <t>Georgina Goldschmidt</t>
        </is>
      </c>
      <c r="H9" s="26" t="inlineStr">
        <is>
          <t>Mid-term due</t>
        </is>
      </c>
    </row>
    <row r="10">
      <c r="A10" s="18" t="n">
        <v>8</v>
      </c>
      <c r="B10" s="21">
        <f>B9+7</f>
        <v/>
      </c>
      <c r="C10" s="78" t="inlineStr">
        <is>
          <t>Benedikt Zinn</t>
        </is>
      </c>
      <c r="D10" s="78" t="inlineStr">
        <is>
          <t>Felix Hilgers</t>
        </is>
      </c>
      <c r="E10" s="78" t="inlineStr">
        <is>
          <t>Everyone else</t>
        </is>
      </c>
      <c r="F10" s="78" t="inlineStr">
        <is>
          <t>Paul Assenbaum</t>
        </is>
      </c>
      <c r="G10" s="78" t="inlineStr">
        <is>
          <t>Georgina Goldschmidt</t>
        </is>
      </c>
      <c r="H10" s="25" t="n"/>
    </row>
    <row r="11">
      <c r="A11" s="18" t="n">
        <v>9</v>
      </c>
      <c r="B11" s="21">
        <f>B10+7</f>
        <v/>
      </c>
      <c r="C11" s="78" t="inlineStr">
        <is>
          <t>Felix Hilgers</t>
        </is>
      </c>
      <c r="D11" s="78" t="inlineStr">
        <is>
          <t>Benedikt Zinn</t>
        </is>
      </c>
      <c r="E11" s="78" t="inlineStr">
        <is>
          <t>Everyone else</t>
        </is>
      </c>
      <c r="F11" s="78" t="inlineStr">
        <is>
          <t>Christoph Mantsch</t>
        </is>
      </c>
      <c r="G11" s="78" t="inlineStr">
        <is>
          <t>Georgina Goldschmidt</t>
        </is>
      </c>
      <c r="H11" s="25" t="n"/>
    </row>
    <row r="12">
      <c r="A12" s="18" t="n">
        <v>10</v>
      </c>
      <c r="B12" s="21" t="n">
        <v>44937</v>
      </c>
      <c r="C12" s="78" t="inlineStr">
        <is>
          <t>Benedikt Zinn</t>
        </is>
      </c>
      <c r="D12" s="78" t="inlineStr">
        <is>
          <t>Felix Hilgers</t>
        </is>
      </c>
      <c r="E12" s="78" t="inlineStr">
        <is>
          <t>Everyone else</t>
        </is>
      </c>
      <c r="F12" s="78" t="inlineStr">
        <is>
          <t>Christoph Mantsch</t>
        </is>
      </c>
      <c r="G12" s="78" t="inlineStr">
        <is>
          <t>Georgina Goldschmidt</t>
        </is>
      </c>
      <c r="H12" s="25" t="n"/>
    </row>
    <row r="13">
      <c r="A13" s="18" t="n">
        <v>11</v>
      </c>
      <c r="B13" s="21">
        <f>B12+7</f>
        <v/>
      </c>
      <c r="C13" s="78" t="inlineStr">
        <is>
          <t>Felix Hilgers</t>
        </is>
      </c>
      <c r="D13" s="78" t="inlineStr">
        <is>
          <t>Benedikt Zinn</t>
        </is>
      </c>
      <c r="E13" s="78" t="inlineStr">
        <is>
          <t>Everyone else</t>
        </is>
      </c>
      <c r="F13" s="78" t="inlineStr">
        <is>
          <t>Zohreh Asadi</t>
        </is>
      </c>
      <c r="G13" s="78" t="inlineStr">
        <is>
          <t>Georgina Goldschmidt</t>
        </is>
      </c>
      <c r="H13" s="25" t="n"/>
    </row>
    <row r="14">
      <c r="A14" s="18" t="n">
        <v>12</v>
      </c>
      <c r="B14" s="21">
        <f>B13+7</f>
        <v/>
      </c>
      <c r="C14" s="78" t="inlineStr">
        <is>
          <t>Benedikt Zinn</t>
        </is>
      </c>
      <c r="D14" s="78" t="inlineStr">
        <is>
          <t>Felix Hilgers</t>
        </is>
      </c>
      <c r="E14" s="78" t="inlineStr">
        <is>
          <t>Everyone else</t>
        </is>
      </c>
      <c r="F14" s="78" t="inlineStr">
        <is>
          <t>Zohreh Asadi</t>
        </is>
      </c>
      <c r="G14" s="78" t="inlineStr">
        <is>
          <t>Georgina Goldschmidt</t>
        </is>
      </c>
      <c r="H14" s="25" t="n"/>
    </row>
    <row r="15">
      <c r="A15" s="18" t="n">
        <v>13</v>
      </c>
      <c r="B15" s="21">
        <f>B14+7</f>
        <v/>
      </c>
      <c r="C15" s="78" t="inlineStr">
        <is>
          <t>Felix Hilgers</t>
        </is>
      </c>
      <c r="D15" s="78" t="inlineStr">
        <is>
          <t>Benedikt Zinn</t>
        </is>
      </c>
      <c r="E15" s="78" t="inlineStr">
        <is>
          <t>Everyone else</t>
        </is>
      </c>
      <c r="F15" s="78" t="n"/>
      <c r="G15" s="78" t="inlineStr">
        <is>
          <t>Georgina Goldschmidt</t>
        </is>
      </c>
      <c r="H15" s="25" t="n"/>
    </row>
    <row r="16">
      <c r="A16" s="18" t="n">
        <v>14</v>
      </c>
      <c r="B16" s="21">
        <f>B15+7</f>
        <v/>
      </c>
      <c r="C16" s="78" t="inlineStr">
        <is>
          <t>Benedikt Zinn</t>
        </is>
      </c>
      <c r="D16" s="78" t="inlineStr">
        <is>
          <t>Felix Hilgers</t>
        </is>
      </c>
      <c r="E16" s="78" t="inlineStr">
        <is>
          <t>Everyone else</t>
        </is>
      </c>
      <c r="F16" s="78" t="n"/>
      <c r="G16" s="78" t="inlineStr">
        <is>
          <t>Georgina Goldschmidt</t>
        </is>
      </c>
      <c r="H16" s="26" t="inlineStr">
        <is>
          <t>Demo day!</t>
        </is>
      </c>
    </row>
    <row r="17">
      <c r="A17" s="18" t="n">
        <v>15</v>
      </c>
      <c r="B17" s="21">
        <f>B16+7</f>
        <v/>
      </c>
      <c r="C17" s="78" t="inlineStr">
        <is>
          <t>Felix Hilgers</t>
        </is>
      </c>
      <c r="D17" s="78" t="inlineStr">
        <is>
          <t>Benedikt Zinn</t>
        </is>
      </c>
      <c r="E17" s="78" t="inlineStr">
        <is>
          <t>Everyone else</t>
        </is>
      </c>
      <c r="F17" s="78" t="n"/>
      <c r="G17" s="78" t="inlineStr">
        <is>
          <t>Georgina Goldschmidt</t>
        </is>
      </c>
      <c r="H17" s="26" t="inlineStr">
        <is>
          <t>Retrospective</t>
        </is>
      </c>
    </row>
    <row r="18">
      <c r="A18" s="18" t="n"/>
      <c r="B18" s="23" t="n"/>
      <c r="C18" s="78" t="n"/>
      <c r="D18" s="78" t="n"/>
      <c r="E18" s="78" t="n"/>
      <c r="F18" s="78" t="n"/>
      <c r="G18" s="78" t="n"/>
      <c r="H18" s="25" t="n"/>
    </row>
    <row r="19">
      <c r="A19" s="26" t="inlineStr">
        <is>
          <t>Product owners, software developers, and Scurm Master are set and ideally don't change over time; the critical part is the Release Manager role you need to define here</t>
        </is>
      </c>
      <c r="B19" s="25" t="n"/>
      <c r="C19" s="26" t="n"/>
      <c r="D19" s="26" t="n"/>
      <c r="E19" s="26" t="n"/>
      <c r="F19" s="26" t="n"/>
      <c r="G19" s="26" t="n"/>
      <c r="H19" s="25" t="n"/>
    </row>
    <row r="20">
      <c r="A20" s="26" t="n"/>
      <c r="B20" s="23" t="n"/>
      <c r="C20" s="78" t="n"/>
      <c r="D20" s="78" t="n"/>
      <c r="E20" s="78" t="n"/>
      <c r="F20" s="78" t="n"/>
      <c r="G20" s="78" t="n"/>
      <c r="H20" s="25" t="n"/>
    </row>
    <row r="21">
      <c r="A21" s="18" t="n"/>
      <c r="B21" s="23" t="n"/>
      <c r="C21" s="78" t="n"/>
      <c r="D21" s="78" t="n"/>
      <c r="E21" s="78" t="n"/>
      <c r="F21" s="78" t="n"/>
      <c r="G21" s="78" t="n"/>
      <c r="H21" s="25" t="n"/>
    </row>
  </sheetData>
  <mergeCells count="1">
    <mergeCell ref="C1:D1"/>
  </mergeCell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fitToPage="1"/>
  </sheetPr>
  <dimension ref="A1:B29"/>
  <sheetViews>
    <sheetView workbookViewId="0">
      <selection activeCell="A1" sqref="A1"/>
    </sheetView>
  </sheetViews>
  <sheetFormatPr baseColWidth="8" defaultColWidth="12.63" defaultRowHeight="12.75" customHeight="1"/>
  <cols>
    <col width="25.13" customWidth="1" style="123" min="1" max="1"/>
    <col width="100.13" customWidth="1" style="123" min="2" max="2"/>
  </cols>
  <sheetData>
    <row r="1">
      <c r="A1" s="33" t="inlineStr">
        <is>
          <t>Goals</t>
        </is>
      </c>
      <c r="B1" s="82" t="inlineStr">
        <is>
          <t>Development of a visual perception system for robots with an accuracy of &gt;= 90%</t>
        </is>
      </c>
    </row>
    <row r="2">
      <c r="A2" s="72" t="n"/>
      <c r="B2" s="72" t="n"/>
    </row>
    <row r="3">
      <c r="A3" s="33" t="inlineStr">
        <is>
          <t>Meeting norms</t>
        </is>
      </c>
      <c r="B3" s="82" t="inlineStr">
        <is>
          <t xml:space="preserve">Zoom-Meetings in the meeting room of the university. 
Joining the meeting is mandatory, with exceptions (like sickness, etc.).
As an exception, showing up to 10 minutes late is fine if the team is informed via discord.
Happiness Index: has to be completed at the end of the meeting (amos happy).
Stand-up-mails: containing -&gt; things done, problems encountered, things up next.
 -&gt; For SDs: min 2x per week
 -&gt; For POs: min 1x per week
</t>
        </is>
      </c>
    </row>
    <row r="4">
      <c r="A4" s="72" t="n"/>
      <c r="B4" s="72" t="n"/>
    </row>
    <row r="5">
      <c r="A5" s="33" t="inlineStr">
        <is>
          <t>Working norms</t>
        </is>
      </c>
      <c r="B5" s="82" t="inlineStr">
        <is>
          <t>Issues on Github in the “Feature board” project of the repository.
Definition of Done: If specified in the issue that the feature has to be tested, tests have to be written for that feature, documented (in code or later in the wiki)
Git-branches:
The latest commit on the main-branch has to be tagged.
Only 2 “in progress” tickets per person at one time.</t>
        </is>
      </c>
    </row>
    <row r="6">
      <c r="A6" s="72" t="n"/>
      <c r="B6" s="72" t="n"/>
    </row>
    <row r="7">
      <c r="A7" s="33" t="inlineStr">
        <is>
          <t>Coordination norms</t>
        </is>
      </c>
      <c r="B7" s="82" t="inlineStr">
        <is>
          <t>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t>
        </is>
      </c>
    </row>
    <row r="8">
      <c r="A8" s="72" t="n"/>
      <c r="B8" s="72" t="n"/>
    </row>
    <row r="9">
      <c r="A9" s="33" t="inlineStr">
        <is>
          <t>Communication norms</t>
        </is>
      </c>
      <c r="B9" s="82" t="inlineStr">
        <is>
          <t xml:space="preserve">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
</t>
        </is>
      </c>
    </row>
    <row r="10">
      <c r="A10" s="72" t="n"/>
      <c r="B10" s="72" t="n"/>
    </row>
    <row r="11">
      <c r="A11" s="33" t="inlineStr">
        <is>
          <t>Consideration norms</t>
        </is>
      </c>
      <c r="B11" s="82" t="n"/>
    </row>
    <row r="12">
      <c r="A12" s="72" t="n"/>
      <c r="B12" s="72" t="n"/>
    </row>
    <row r="13">
      <c r="A13" s="33" t="inlineStr">
        <is>
          <t>Cont. improvement norms</t>
        </is>
      </c>
      <c r="B13" s="82" t="n"/>
    </row>
    <row r="14">
      <c r="A14" s="72" t="n"/>
      <c r="B14" s="72" t="n"/>
    </row>
    <row r="15">
      <c r="A15" s="33" t="inlineStr">
        <is>
          <t>Rewards</t>
        </is>
      </c>
      <c r="B15" s="82" t="inlineStr">
        <is>
          <t>Online coffee or lunch meet at some point.</t>
        </is>
      </c>
    </row>
    <row r="16">
      <c r="A16" s="72" t="n"/>
      <c r="B16" s="72" t="n"/>
    </row>
    <row r="17">
      <c r="A17" s="33" t="inlineStr">
        <is>
          <t>Sanctions</t>
        </is>
      </c>
      <c r="B17" s="82" t="inlineStr">
        <is>
          <t>Document absence. Repeated absence is addressed with the missing person directly but will later be escalated to professors.</t>
        </is>
      </c>
    </row>
    <row r="18">
      <c r="A18" s="72" t="n"/>
      <c r="B18" s="72" t="n"/>
    </row>
    <row r="19">
      <c r="A19" s="33" t="inlineStr">
        <is>
          <t>Signatures</t>
        </is>
      </c>
      <c r="B19" s="33" t="n"/>
    </row>
    <row r="21">
      <c r="A21" s="35" t="inlineStr">
        <is>
          <t>Scrum Master</t>
        </is>
      </c>
      <c r="B21" s="35" t="inlineStr">
        <is>
          <t>Georgina Goldschmidt</t>
        </is>
      </c>
    </row>
    <row r="22">
      <c r="A22" s="35" t="inlineStr">
        <is>
          <t>Product owner</t>
        </is>
      </c>
      <c r="B22" s="35" t="inlineStr">
        <is>
          <t>Felix Hilgers</t>
        </is>
      </c>
    </row>
    <row r="23">
      <c r="A23" s="35" t="inlineStr">
        <is>
          <t>Product owner</t>
        </is>
      </c>
      <c r="B23" s="35" t="inlineStr">
        <is>
          <t>Benedikt Zinn</t>
        </is>
      </c>
    </row>
    <row r="24">
      <c r="A24" s="35" t="inlineStr">
        <is>
          <t>Software developer</t>
        </is>
      </c>
      <c r="B24" s="35" t="inlineStr">
        <is>
          <t>Sarib Samdani</t>
        </is>
      </c>
    </row>
    <row r="25">
      <c r="A25" s="35" t="inlineStr">
        <is>
          <t>Software developer</t>
        </is>
      </c>
      <c r="B25" s="35" t="inlineStr">
        <is>
          <t>Emil Badura</t>
        </is>
      </c>
    </row>
    <row r="26">
      <c r="A26" s="35" t="inlineStr">
        <is>
          <t>Software developer</t>
        </is>
      </c>
      <c r="B26" s="35" t="inlineStr">
        <is>
          <t>Anuun Chinbat</t>
        </is>
      </c>
    </row>
    <row r="27">
      <c r="A27" s="35" t="inlineStr">
        <is>
          <t>Software developer</t>
        </is>
      </c>
      <c r="B27" s="35" t="inlineStr">
        <is>
          <t>Paul Assenbaum</t>
        </is>
      </c>
    </row>
    <row r="28">
      <c r="A28" s="35" t="inlineStr">
        <is>
          <t>Software developer</t>
        </is>
      </c>
      <c r="B28" s="35" t="inlineStr">
        <is>
          <t>Christoph Mantsch</t>
        </is>
      </c>
    </row>
    <row r="29">
      <c r="A29" s="35" t="inlineStr">
        <is>
          <t>Software developer</t>
        </is>
      </c>
      <c r="B29" s="35" t="inlineStr">
        <is>
          <t>Zohreh Asadi</t>
        </is>
      </c>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62.63" customWidth="1" style="123" min="1" max="2"/>
  </cols>
  <sheetData>
    <row r="1">
      <c r="A1" s="36" t="inlineStr">
        <is>
          <t>Product Vision</t>
        </is>
      </c>
      <c r="B1" s="36" t="inlineStr">
        <is>
          <t>Project Mission</t>
        </is>
      </c>
    </row>
    <row r="2">
      <c r="A2" s="38" t="n"/>
      <c r="B2" s="38" t="n"/>
    </row>
    <row r="3">
      <c r="A3" s="39" t="inlineStr">
        <is>
          <t>Optibot helps people when operating robots equipped with a single camera.
It gives real-time distance estimates for known objects inside the field of view of said camera without relying on other sensors.
The software stack is easy to integrate with already existing WebRTC based systems, making it easy to enhance existing robot networks.</t>
        </is>
      </c>
      <c r="B3" s="39" t="inlineStr">
        <is>
          <t>The mission of this project is to create a containerized system that processes a WebRTC stream as an input and outputs a stream of metadata.
This metadata will contain the objects detected in a certain frame of the video stream, their bounding boxes in the image &amp; the estimated distance.
This information can be overlayed over the existing video stream in a React component. All components of the project have well definied interfaces and can easily be integrated into existing architectures.</t>
        </is>
      </c>
    </row>
    <row r="4"/>
    <row r="5"/>
    <row r="6"/>
    <row r="7"/>
    <row r="8"/>
    <row r="9"/>
    <row r="10"/>
    <row r="11"/>
    <row r="12"/>
    <row r="13"/>
    <row r="14"/>
    <row r="15"/>
    <row r="16"/>
    <row r="17"/>
    <row r="18"/>
    <row r="19"/>
    <row r="20"/>
  </sheetData>
  <mergeCells count="2">
    <mergeCell ref="B3:B20"/>
    <mergeCell ref="A3:A20"/>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Term</t>
        </is>
      </c>
      <c r="B1" s="44" t="inlineStr">
        <is>
          <t>Definition</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23" min="1" max="1"/>
    <col width="112.63" customWidth="1" style="123" min="2" max="2"/>
  </cols>
  <sheetData>
    <row r="1">
      <c r="A1" s="41" t="inlineStr">
        <is>
          <t>Sprint #</t>
        </is>
      </c>
      <c r="B1" s="44" t="inlineStr">
        <is>
          <t>Sprint goal</t>
        </is>
      </c>
    </row>
    <row r="2">
      <c r="A2" s="43" t="n">
        <v>1</v>
      </c>
      <c r="B2" s="35" t="inlineStr">
        <is>
          <t>Meeting with industry partner and getting things started (and the T-shirt of course)</t>
        </is>
      </c>
    </row>
    <row r="3">
      <c r="A3" s="43">
        <f>A2+1</f>
        <v/>
      </c>
      <c r="B3" s="35" t="inlineStr">
        <is>
          <t>Start work on individual components and research unclear topics</t>
        </is>
      </c>
    </row>
    <row r="4">
      <c r="A4" s="43">
        <f>A3+1</f>
        <v/>
      </c>
      <c r="B4" s="35" t="inlineStr">
        <is>
          <t>Combining components into a first working prototype</t>
        </is>
      </c>
    </row>
    <row r="5">
      <c r="A5" s="43">
        <f>A4+1</f>
        <v/>
      </c>
      <c r="B5" s="35" t="inlineStr">
        <is>
          <t>Refining prototype and splitting out components</t>
        </is>
      </c>
    </row>
    <row r="6">
      <c r="A6" s="43">
        <f>A5+1</f>
        <v/>
      </c>
      <c r="B6" s="35" t="inlineStr">
        <is>
          <t>Finishing the Implementation of the Initial Architecture</t>
        </is>
      </c>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35"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23" min="1" max="1"/>
    <col width="112.63" customWidth="1" style="123" min="2" max="2"/>
  </cols>
  <sheetData>
    <row r="1">
      <c r="A1" s="41" t="inlineStr">
        <is>
          <t>Sprint #</t>
        </is>
      </c>
      <c r="B1" s="44" t="inlineStr">
        <is>
          <t>Story Points Realized</t>
        </is>
      </c>
    </row>
    <row r="2">
      <c r="A2" s="43" t="n">
        <v>1</v>
      </c>
      <c r="B2" s="35" t="n">
        <v>0</v>
      </c>
    </row>
    <row r="3">
      <c r="A3" s="43">
        <f>A2+1</f>
        <v/>
      </c>
      <c r="B3" s="35">
        <f>SUM('Mid-Project Release plan'!B21:F24)</f>
        <v/>
      </c>
    </row>
    <row r="4">
      <c r="A4" s="43">
        <f>A3+1</f>
        <v/>
      </c>
      <c r="B4" s="35">
        <f>SUM('Mid-Project Release plan'!B26:F32)</f>
        <v/>
      </c>
    </row>
    <row r="5">
      <c r="A5" s="43">
        <f>A4+1</f>
        <v/>
      </c>
      <c r="B5" s="35">
        <f>SUM('Mid-Project Release plan'!B34:F36)</f>
        <v/>
      </c>
    </row>
    <row r="6">
      <c r="A6" s="43">
        <f>A5+1</f>
        <v/>
      </c>
      <c r="B6" s="35" t="n"/>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44"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A20"/>
  <sheetViews>
    <sheetView workbookViewId="0">
      <selection activeCell="A1" sqref="A1"/>
    </sheetView>
  </sheetViews>
  <sheetFormatPr baseColWidth="8" defaultColWidth="12.63" defaultRowHeight="12.75" customHeight="1"/>
  <cols>
    <col width="136.38" customWidth="1" style="123" min="1" max="1"/>
  </cols>
  <sheetData>
    <row r="1">
      <c r="A1" s="44" t="inlineStr">
        <is>
          <t>Average</t>
        </is>
      </c>
    </row>
    <row r="2">
      <c r="A2" s="35">
        <f>AVERAGE('Velocity Tracking'!B$2:B$16)</f>
        <v/>
      </c>
    </row>
    <row r="3">
      <c r="A3" s="35">
        <f>AVERAGE('Velocity Tracking'!B$2:B$16)</f>
        <v/>
      </c>
    </row>
    <row r="4">
      <c r="A4" s="35">
        <f>AVERAGE('Velocity Tracking'!B$2:B$16)</f>
        <v/>
      </c>
    </row>
    <row r="5">
      <c r="A5" s="35">
        <f>AVERAGE('Velocity Tracking'!B$2:B$16)</f>
        <v/>
      </c>
    </row>
    <row r="6">
      <c r="A6" s="35">
        <f>AVERAGE('Velocity Tracking'!B$2:B$16)</f>
        <v/>
      </c>
    </row>
    <row r="7">
      <c r="A7" s="35">
        <f>AVERAGE('Velocity Tracking'!B$2:B$16)</f>
        <v/>
      </c>
    </row>
    <row r="8">
      <c r="A8" s="35">
        <f>AVERAGE('Velocity Tracking'!B$2:B$16)</f>
        <v/>
      </c>
    </row>
    <row r="9">
      <c r="A9" s="35">
        <f>AVERAGE('Velocity Tracking'!B$2:B$16)</f>
        <v/>
      </c>
    </row>
    <row r="10">
      <c r="A10" s="35">
        <f>AVERAGE('Velocity Tracking'!B$2:B$16)</f>
        <v/>
      </c>
    </row>
    <row r="11">
      <c r="A11" s="35">
        <f>AVERAGE('Velocity Tracking'!B$2:B$16)</f>
        <v/>
      </c>
    </row>
    <row r="12">
      <c r="A12" s="35">
        <f>AVERAGE('Velocity Tracking'!B$2:B$16)</f>
        <v/>
      </c>
    </row>
    <row r="13">
      <c r="A13" s="35">
        <f>AVERAGE('Velocity Tracking'!B$2:B$16)</f>
        <v/>
      </c>
    </row>
    <row r="14">
      <c r="A14" s="35">
        <f>AVERAGE('Velocity Tracking'!B$2:B$16)</f>
        <v/>
      </c>
    </row>
    <row r="15">
      <c r="A15" s="35">
        <f>AVERAGE('Velocity Tracking'!B$2:B$16)</f>
        <v/>
      </c>
    </row>
    <row r="16">
      <c r="A16" s="35">
        <f>AVERAGE('Velocity Tracking'!B$2:B$16)</f>
        <v/>
      </c>
    </row>
    <row r="17">
      <c r="A17" s="35" t="n"/>
    </row>
    <row r="18">
      <c r="A18" s="45" t="n"/>
    </row>
    <row r="19">
      <c r="A19" s="35" t="n"/>
    </row>
    <row r="20">
      <c r="A20" s="35" t="n"/>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0" summaryRight="0"/>
    <pageSetUpPr/>
  </sheetPr>
  <dimension ref="A1:G52"/>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23" min="1" max="1"/>
    <col width="69.38" customWidth="1" style="123" min="2" max="2"/>
    <col width="62.63" customWidth="1" style="123" min="3" max="3"/>
    <col width="15.75" customWidth="1" style="123" min="4" max="7"/>
  </cols>
  <sheetData>
    <row r="1">
      <c r="A1" s="46" t="inlineStr">
        <is>
          <t>Sprint</t>
        </is>
      </c>
      <c r="B1" s="86" t="inlineStr">
        <is>
          <t>Goal</t>
        </is>
      </c>
      <c r="C1" s="86" t="inlineStr">
        <is>
          <t>Feature Name</t>
        </is>
      </c>
      <c r="D1" s="49" t="inlineStr">
        <is>
          <t>Est. size</t>
        </is>
      </c>
      <c r="E1" s="49" t="inlineStr">
        <is>
          <t>Est. remaining</t>
        </is>
      </c>
      <c r="F1" s="49" t="inlineStr">
        <is>
          <t>Real size</t>
        </is>
      </c>
      <c r="G1" s="49" t="inlineStr">
        <is>
          <t>Real remaining</t>
        </is>
      </c>
    </row>
    <row r="2">
      <c r="A2" s="79" t="n"/>
      <c r="B2" s="75" t="n"/>
      <c r="C2" s="82" t="n"/>
      <c r="D2" s="82" t="n"/>
      <c r="E2" s="82" t="n"/>
      <c r="F2" s="82" t="n"/>
      <c r="G2" s="82" t="n"/>
    </row>
    <row r="3">
      <c r="A3" s="52" t="inlineStr">
        <is>
          <t>Release</t>
        </is>
      </c>
      <c r="B3" s="53" t="n"/>
      <c r="C3" s="54" t="n"/>
      <c r="D3" s="54" t="n"/>
      <c r="E3" s="54" t="n"/>
      <c r="F3" s="54" t="n"/>
      <c r="G3" s="54" t="n"/>
    </row>
    <row r="4">
      <c r="A4" s="79" t="n"/>
      <c r="B4" s="75" t="n"/>
      <c r="C4" s="82" t="n"/>
      <c r="D4" s="82" t="n"/>
      <c r="E4" s="82" t="n"/>
      <c r="F4" s="82" t="n"/>
      <c r="G4" s="82" t="n"/>
    </row>
    <row r="5">
      <c r="A5" s="63" t="inlineStr">
        <is>
          <t>Total</t>
        </is>
      </c>
      <c r="B5" s="78" t="n"/>
      <c r="C5" s="72" t="n"/>
      <c r="D5" s="77">
        <f>sum(D8:D16)</f>
        <v/>
      </c>
      <c r="E5" s="77">
        <f>D5</f>
        <v/>
      </c>
      <c r="F5" s="72" t="n"/>
      <c r="G5" s="72" t="n"/>
    </row>
    <row r="6">
      <c r="A6" s="79" t="n"/>
      <c r="B6" s="75" t="n"/>
      <c r="C6" s="82" t="n"/>
      <c r="D6" s="82" t="n"/>
      <c r="E6" s="82" t="n"/>
      <c r="F6" s="82" t="n"/>
      <c r="G6" s="82" t="n"/>
    </row>
    <row r="7">
      <c r="A7" s="58" t="inlineStr">
        <is>
          <t>Sprints</t>
        </is>
      </c>
      <c r="B7" s="81" t="n"/>
      <c r="C7" s="60" t="n"/>
      <c r="D7" s="60" t="n"/>
      <c r="E7" s="60" t="n"/>
      <c r="F7" s="60" t="n"/>
      <c r="G7" s="60" t="n"/>
    </row>
    <row r="8">
      <c r="A8" s="79" t="n"/>
      <c r="B8" s="75" t="n"/>
      <c r="C8" s="82" t="n"/>
      <c r="D8" s="82" t="n"/>
      <c r="E8" s="61" t="inlineStr">
        <is>
          <t>Estimated burn-down</t>
        </is>
      </c>
      <c r="F8" s="82" t="n"/>
      <c r="G8" s="61" t="inlineStr">
        <is>
          <t>Real burn-down</t>
        </is>
      </c>
    </row>
    <row r="9">
      <c r="A9" s="62">
        <f>ROW()-8</f>
        <v/>
      </c>
      <c r="B9" s="63">
        <f>'Sprint Goals'!B2</f>
        <v/>
      </c>
      <c r="C9" s="72" t="n"/>
      <c r="D9" s="77">
        <f>sum(D19)</f>
        <v/>
      </c>
      <c r="E9" s="77">
        <f>$D$5</f>
        <v/>
      </c>
      <c r="F9" s="77">
        <f>sum(F19)</f>
        <v/>
      </c>
      <c r="G9" s="77">
        <f>$D$5</f>
        <v/>
      </c>
    </row>
    <row r="10">
      <c r="A10" s="62">
        <f>ROW()-8</f>
        <v/>
      </c>
      <c r="B10" s="64">
        <f>'Sprint Goals'!B3</f>
        <v/>
      </c>
      <c r="C10" s="82" t="n"/>
      <c r="D10" s="83">
        <f>sum(D20:D24)</f>
        <v/>
      </c>
      <c r="E10" s="83">
        <f>E9-D9</f>
        <v/>
      </c>
      <c r="F10" s="83">
        <f>sum(F21:F24)</f>
        <v/>
      </c>
      <c r="G10" s="83">
        <f>G9-F9</f>
        <v/>
      </c>
    </row>
    <row r="11">
      <c r="A11" s="62">
        <f>ROW()-8</f>
        <v/>
      </c>
      <c r="B11" s="63">
        <f>'Sprint Goals'!B4</f>
        <v/>
      </c>
      <c r="C11" s="72" t="n"/>
      <c r="D11" s="77">
        <f>sum(D25:D32)</f>
        <v/>
      </c>
      <c r="E11" s="77">
        <f>E10-D10</f>
        <v/>
      </c>
      <c r="F11" s="77">
        <f>sum(F25:F32)</f>
        <v/>
      </c>
      <c r="G11" s="77">
        <f>G10-F10</f>
        <v/>
      </c>
    </row>
    <row r="12">
      <c r="A12" s="62">
        <f>ROW()-8</f>
        <v/>
      </c>
      <c r="B12" s="64">
        <f>'Sprint Goals'!B5</f>
        <v/>
      </c>
      <c r="C12" s="82" t="n"/>
      <c r="D12" s="82">
        <f>sum(D33:D36)</f>
        <v/>
      </c>
      <c r="E12" s="83">
        <f>E11-D11</f>
        <v/>
      </c>
      <c r="F12" s="82">
        <f>sum(F33:F36)</f>
        <v/>
      </c>
      <c r="G12" s="83">
        <f>G11-F11</f>
        <v/>
      </c>
    </row>
    <row r="13">
      <c r="A13" s="62">
        <f>ROW()-8</f>
        <v/>
      </c>
      <c r="B13" s="63">
        <f>'Sprint Goals'!B6</f>
        <v/>
      </c>
      <c r="C13" s="72" t="n"/>
      <c r="D13" s="72">
        <f>Sum(D37:D50)</f>
        <v/>
      </c>
      <c r="E13" s="83">
        <f>E12-D12</f>
        <v/>
      </c>
      <c r="F13" s="72">
        <f>sum(F37:F50)</f>
        <v/>
      </c>
      <c r="G13" s="83">
        <f>G12-F12</f>
        <v/>
      </c>
    </row>
    <row r="14">
      <c r="A14" s="62">
        <f>ROW()-8</f>
        <v/>
      </c>
      <c r="B14" s="64">
        <f>'Sprint Goals'!B7</f>
        <v/>
      </c>
      <c r="C14" s="72" t="n"/>
      <c r="D14" s="72" t="n"/>
      <c r="E14" s="72" t="n"/>
      <c r="F14" s="72" t="n"/>
      <c r="G14" s="72" t="n"/>
    </row>
    <row r="15">
      <c r="A15" s="62" t="n"/>
      <c r="B15" s="63" t="n"/>
      <c r="C15" s="72" t="n"/>
      <c r="D15" s="72" t="n"/>
      <c r="E15" s="72" t="n"/>
      <c r="F15" s="72" t="n"/>
      <c r="G15" s="72" t="n"/>
    </row>
    <row r="16">
      <c r="A16" s="62" t="n"/>
      <c r="B16" s="63" t="n"/>
      <c r="C16" s="72" t="n"/>
      <c r="D16" s="72" t="n"/>
      <c r="E16" s="72" t="n"/>
      <c r="F16" s="72" t="n"/>
      <c r="G16" s="72" t="n"/>
    </row>
    <row r="17">
      <c r="A17" s="66" t="inlineStr">
        <is>
          <t>Features</t>
        </is>
      </c>
      <c r="B17" s="67" t="n"/>
      <c r="C17" s="68" t="n"/>
      <c r="D17" s="68" t="n"/>
      <c r="E17" s="68" t="n"/>
      <c r="F17" s="68" t="n"/>
      <c r="G17" s="68" t="n"/>
    </row>
    <row r="18">
      <c r="A18" s="62" t="n"/>
      <c r="B18" s="63" t="n"/>
      <c r="C18" s="72" t="n"/>
      <c r="D18" s="72" t="n"/>
      <c r="E18" s="72" t="n"/>
      <c r="F18" s="72" t="n"/>
      <c r="G18" s="72" t="n"/>
    </row>
    <row r="19">
      <c r="A19" s="69">
        <f>A9</f>
        <v/>
      </c>
      <c r="B19" s="70">
        <f>B9</f>
        <v/>
      </c>
      <c r="C19" s="82" t="n"/>
      <c r="D19" s="82" t="n"/>
      <c r="E19" s="82" t="n"/>
      <c r="F19" s="82" t="n"/>
      <c r="G19" s="82" t="n"/>
    </row>
    <row r="20">
      <c r="A20" s="69">
        <f>A10</f>
        <v/>
      </c>
      <c r="B20" s="70">
        <f>B10</f>
        <v/>
      </c>
      <c r="C20" s="82" t="n"/>
      <c r="D20" s="82" t="n"/>
      <c r="E20" s="82" t="n"/>
      <c r="F20" s="82" t="n"/>
      <c r="G20" s="82" t="n"/>
    </row>
    <row r="21">
      <c r="A21" s="62" t="n"/>
      <c r="B21" s="71" t="n"/>
      <c r="C21" s="72" t="inlineStr">
        <is>
          <t>Setup Architecture</t>
        </is>
      </c>
      <c r="D21" s="72" t="n">
        <v>5</v>
      </c>
      <c r="E21" s="72" t="n"/>
      <c r="F21" s="72" t="n">
        <v>5</v>
      </c>
      <c r="G21" s="72" t="n"/>
    </row>
    <row r="22">
      <c r="A22" s="79" t="n"/>
      <c r="B22" s="75" t="n"/>
      <c r="C22" s="75" t="inlineStr">
        <is>
          <t>Serve Webcam as WebRTC stream</t>
        </is>
      </c>
      <c r="D22" s="83" t="n">
        <v>5</v>
      </c>
      <c r="E22" s="75" t="n"/>
      <c r="F22" s="83" t="n">
        <v>5</v>
      </c>
      <c r="G22" s="75" t="n"/>
    </row>
    <row r="23">
      <c r="A23" s="62" t="n"/>
      <c r="B23" s="71" t="n"/>
      <c r="C23" s="72" t="inlineStr">
        <is>
          <t>Setup Initial CI Pipeline</t>
        </is>
      </c>
      <c r="D23" s="77" t="n">
        <v>3</v>
      </c>
      <c r="E23" s="72" t="n"/>
      <c r="F23" s="77" t="n">
        <v>3</v>
      </c>
      <c r="G23" s="72" t="n"/>
    </row>
    <row r="24">
      <c r="A24" s="79" t="n"/>
      <c r="B24" s="75" t="n"/>
      <c r="C24" s="75" t="inlineStr">
        <is>
          <t>Discuss Team Distribution Preferences</t>
        </is>
      </c>
      <c r="D24" s="83" t="n">
        <v>3</v>
      </c>
      <c r="E24" s="75" t="n"/>
      <c r="F24" s="83" t="n">
        <v>1</v>
      </c>
      <c r="G24" s="75" t="n"/>
    </row>
    <row r="25">
      <c r="A25" s="69">
        <f>A11</f>
        <v/>
      </c>
      <c r="B25" s="70">
        <f>B11</f>
        <v/>
      </c>
      <c r="C25" s="82" t="n"/>
      <c r="D25" s="82" t="n"/>
      <c r="E25" s="82" t="n"/>
      <c r="F25" s="82" t="n"/>
      <c r="G25" s="82" t="n"/>
    </row>
    <row r="26">
      <c r="A26" s="62" t="n"/>
      <c r="B26" s="71" t="n"/>
      <c r="C26" s="72" t="inlineStr">
        <is>
          <t>Keep BOM up to date</t>
        </is>
      </c>
      <c r="D26" s="72" t="n">
        <v>2</v>
      </c>
      <c r="E26" s="72" t="n"/>
      <c r="F26" s="72" t="n">
        <v>2</v>
      </c>
      <c r="G26" s="72" t="n"/>
    </row>
    <row r="27">
      <c r="A27" s="79" t="n"/>
      <c r="B27" s="75" t="n"/>
      <c r="C27" s="75" t="inlineStr">
        <is>
          <t>Setup REUSE licensing</t>
        </is>
      </c>
      <c r="D27" s="83" t="n">
        <v>2</v>
      </c>
      <c r="E27" s="75" t="n"/>
      <c r="F27" s="75" t="n">
        <v>3</v>
      </c>
      <c r="G27" s="75" t="n"/>
    </row>
    <row r="28">
      <c r="A28" s="62" t="n"/>
      <c r="B28" s="71" t="n"/>
      <c r="C28" s="72" t="inlineStr">
        <is>
          <t>Update Architecture document</t>
        </is>
      </c>
      <c r="D28" s="77" t="n">
        <v>2</v>
      </c>
      <c r="E28" s="72" t="n"/>
      <c r="F28" s="72" t="n">
        <v>2</v>
      </c>
      <c r="G28" s="72" t="n"/>
    </row>
    <row r="29">
      <c r="A29" s="79" t="n"/>
      <c r="B29" s="75" t="n"/>
      <c r="C29" s="82" t="inlineStr">
        <is>
          <t>Create Object Detection Example</t>
        </is>
      </c>
      <c r="D29" s="83" t="n">
        <v>3</v>
      </c>
      <c r="E29" s="75" t="n"/>
      <c r="F29" s="75" t="n">
        <v>3</v>
      </c>
      <c r="G29" s="75" t="n"/>
    </row>
    <row r="30">
      <c r="A30" s="62" t="n"/>
      <c r="B30" s="71" t="n"/>
      <c r="C30" s="78" t="inlineStr">
        <is>
          <t>Prepare Build Process Review</t>
        </is>
      </c>
      <c r="D30" s="77" t="n">
        <v>2</v>
      </c>
      <c r="E30" s="72" t="n"/>
      <c r="F30" s="72" t="n">
        <v>2</v>
      </c>
      <c r="G30" s="72" t="n"/>
    </row>
    <row r="31">
      <c r="A31" s="79" t="n"/>
      <c r="B31" s="75" t="n"/>
      <c r="C31" s="82" t="inlineStr">
        <is>
          <t>Prepare Depth Estimation</t>
        </is>
      </c>
      <c r="D31" s="82" t="n">
        <v>5</v>
      </c>
      <c r="E31" s="82" t="n"/>
      <c r="F31" s="82" t="n">
        <v>5</v>
      </c>
      <c r="G31" s="82" t="n"/>
    </row>
    <row r="32">
      <c r="A32" s="79" t="n"/>
      <c r="B32" s="75" t="n"/>
      <c r="C32" s="82" t="inlineStr">
        <is>
          <t>Research Object and Depth Estimation</t>
        </is>
      </c>
      <c r="D32" s="82" t="n">
        <v>5</v>
      </c>
      <c r="E32" s="82" t="n"/>
      <c r="F32" s="82" t="n">
        <v>5</v>
      </c>
      <c r="G32" s="82" t="n"/>
    </row>
    <row r="33">
      <c r="A33" s="79">
        <f>A12</f>
        <v/>
      </c>
      <c r="B33" s="70">
        <f>B12</f>
        <v/>
      </c>
      <c r="C33" s="82" t="n"/>
      <c r="D33" s="82" t="n"/>
      <c r="E33" s="82" t="n"/>
      <c r="F33" s="82" t="n"/>
      <c r="G33" s="82" t="n"/>
    </row>
    <row r="34">
      <c r="A34" s="79" t="n"/>
      <c r="B34" s="75" t="n"/>
      <c r="C34" s="82" t="inlineStr">
        <is>
          <t>Metadata Transport</t>
        </is>
      </c>
      <c r="D34" s="82" t="n">
        <v>5</v>
      </c>
      <c r="E34" s="82" t="n"/>
      <c r="F34" s="82" t="n">
        <v>3</v>
      </c>
      <c r="G34" s="82" t="n"/>
    </row>
    <row r="35">
      <c r="A35" s="79" t="n"/>
      <c r="B35" s="75" t="n"/>
      <c r="C35" s="82" t="inlineStr">
        <is>
          <t>Split Backend Responsibilities</t>
        </is>
      </c>
      <c r="D35" s="82" t="n">
        <v>3</v>
      </c>
      <c r="E35" s="82" t="n"/>
      <c r="F35" s="82" t="n">
        <v>3</v>
      </c>
      <c r="G35" s="82" t="n"/>
    </row>
    <row r="36">
      <c r="A36" s="79" t="n"/>
      <c r="B36" s="75" t="n"/>
      <c r="C36" s="82" t="inlineStr">
        <is>
          <t>Improve Code Quality</t>
        </is>
      </c>
      <c r="D36" s="82" t="n">
        <v>5</v>
      </c>
      <c r="E36" s="82" t="n"/>
      <c r="F36" s="82" t="n">
        <v>5</v>
      </c>
      <c r="G36" s="82" t="n"/>
    </row>
    <row r="37">
      <c r="A37" s="79">
        <f>A13</f>
        <v/>
      </c>
      <c r="B37" s="70">
        <f>B13</f>
        <v/>
      </c>
      <c r="C37" s="82" t="n"/>
      <c r="D37" s="82" t="n"/>
      <c r="E37" s="82" t="n"/>
      <c r="F37" s="82" t="n"/>
      <c r="G37" s="82" t="n"/>
    </row>
    <row r="38">
      <c r="A38" s="79" t="n"/>
      <c r="B38" s="75" t="n"/>
      <c r="C38" s="82" t="inlineStr">
        <is>
          <t>Remove Redundant Calculations</t>
        </is>
      </c>
      <c r="D38" s="82" t="n">
        <v>3</v>
      </c>
      <c r="E38" s="82" t="n"/>
      <c r="F38" s="82" t="n"/>
      <c r="G38" s="82" t="n"/>
    </row>
    <row r="39">
      <c r="A39" s="79" t="n"/>
      <c r="B39" s="75" t="n"/>
      <c r="C39" s="82" t="inlineStr">
        <is>
          <t>Automate SBOM Generation</t>
        </is>
      </c>
      <c r="D39" s="82" t="n">
        <v>3</v>
      </c>
      <c r="E39" s="82" t="n"/>
      <c r="F39" s="82" t="n"/>
      <c r="G39" s="82" t="n"/>
    </row>
    <row r="40">
      <c r="A40" s="79" t="n"/>
      <c r="B40" s="75" t="n"/>
      <c r="C40" s="82" t="inlineStr">
        <is>
          <t>Utilize Library for detecting Object dimensions</t>
        </is>
      </c>
      <c r="D40" s="82" t="n">
        <v>5</v>
      </c>
      <c r="E40" s="82" t="n"/>
      <c r="F40" s="82" t="n"/>
      <c r="G40" s="82" t="n"/>
    </row>
    <row r="41">
      <c r="A41" s="79" t="n"/>
      <c r="B41" s="75" t="n"/>
      <c r="C41" s="82" t="inlineStr">
        <is>
          <t>Create a React Video Component</t>
        </is>
      </c>
      <c r="D41" s="82" t="n">
        <v>3</v>
      </c>
      <c r="E41" s="82" t="n"/>
      <c r="F41" s="82" t="n"/>
      <c r="G41" s="82" t="n"/>
    </row>
    <row r="42">
      <c r="A42" s="79" t="n"/>
      <c r="B42" s="75" t="n"/>
      <c r="C42" s="82" t="inlineStr">
        <is>
          <t>Investigate and Fix startup TIme</t>
        </is>
      </c>
      <c r="D42" s="82" t="n">
        <v>5</v>
      </c>
      <c r="E42" s="82" t="n"/>
      <c r="F42" s="82" t="n"/>
      <c r="G42" s="82" t="n"/>
    </row>
    <row r="43">
      <c r="A43" s="79" t="n"/>
      <c r="B43" s="75" t="n"/>
      <c r="C43" s="82" t="inlineStr">
        <is>
          <t>Fix Windows Development setup</t>
        </is>
      </c>
      <c r="D43" s="82" t="n">
        <v>3</v>
      </c>
      <c r="E43" s="82" t="n"/>
      <c r="F43" s="82" t="n"/>
      <c r="G43" s="82" t="n"/>
    </row>
    <row r="44">
      <c r="A44" s="79" t="n"/>
      <c r="B44" s="75" t="n"/>
      <c r="C44" s="82" t="inlineStr">
        <is>
          <t>Create a React Video Overlay</t>
        </is>
      </c>
      <c r="D44" s="82" t="n">
        <v>3</v>
      </c>
      <c r="E44" s="82" t="n"/>
      <c r="F44" s="82" t="n"/>
      <c r="G44" s="82" t="n"/>
    </row>
    <row r="45">
      <c r="A45" s="79" t="n"/>
      <c r="B45" s="75" t="n"/>
      <c r="C45" s="82" t="inlineStr">
        <is>
          <t>Build Process Video</t>
        </is>
      </c>
      <c r="D45" s="82" t="n">
        <v>1</v>
      </c>
      <c r="E45" s="82" t="n"/>
      <c r="F45" s="82" t="n"/>
      <c r="G45" s="82" t="n"/>
    </row>
    <row r="46">
      <c r="A46" s="79" t="n"/>
      <c r="B46" s="75" t="n"/>
      <c r="C46" s="82" t="inlineStr">
        <is>
          <t>Setup Docker Compose</t>
        </is>
      </c>
      <c r="D46" s="82" t="n">
        <v>3</v>
      </c>
      <c r="E46" s="82" t="n"/>
      <c r="F46" s="82" t="n"/>
      <c r="G46" s="82" t="n"/>
    </row>
    <row r="47">
      <c r="A47" s="79" t="n"/>
      <c r="B47" s="75" t="n"/>
      <c r="C47" s="82" t="inlineStr">
        <is>
          <t>Update Container Images</t>
        </is>
      </c>
      <c r="D47" s="82" t="n">
        <v>2</v>
      </c>
      <c r="E47" s="82" t="n"/>
      <c r="F47" s="82" t="n"/>
      <c r="G47" s="82" t="n"/>
    </row>
    <row r="48">
      <c r="A48" s="79" t="n"/>
      <c r="B48" s="75" t="n"/>
      <c r="C48" s="82" t="inlineStr">
        <is>
          <t>Use Metadata in the Frontend for Drawing the Overlay</t>
        </is>
      </c>
      <c r="D48" s="82" t="n">
        <v>5</v>
      </c>
      <c r="E48" s="82" t="n"/>
      <c r="F48" s="82" t="n"/>
      <c r="G48" s="82" t="n"/>
    </row>
    <row r="49">
      <c r="A49" s="79" t="n"/>
      <c r="B49" s="75" t="n"/>
      <c r="C49" s="82" t="inlineStr">
        <is>
          <t>Create Initial Video Router / Dispatching Service</t>
        </is>
      </c>
      <c r="D49" s="82" t="n">
        <v>8</v>
      </c>
      <c r="E49" s="82" t="n"/>
      <c r="F49" s="82" t="n"/>
      <c r="G49" s="82" t="n"/>
    </row>
    <row r="50">
      <c r="A50" s="79" t="n"/>
      <c r="B50" s="75" t="n"/>
      <c r="C50" s="82" t="inlineStr">
        <is>
          <t>Separate Model Downloading from Running</t>
        </is>
      </c>
      <c r="D50" s="82" t="n">
        <v>3</v>
      </c>
      <c r="E50" s="82" t="n"/>
      <c r="F50" s="82" t="n"/>
      <c r="G50" s="82" t="n"/>
    </row>
    <row r="51">
      <c r="A51" s="79" t="n"/>
      <c r="B51" s="75" t="n"/>
      <c r="C51" s="82" t="n"/>
      <c r="D51" s="82" t="n"/>
      <c r="E51" s="82" t="n"/>
      <c r="F51" s="82" t="n"/>
      <c r="G51" s="82" t="n"/>
    </row>
    <row r="52">
      <c r="A52" s="79" t="n"/>
      <c r="B52" s="75" t="n"/>
      <c r="C52" s="82" t="n"/>
      <c r="D52" s="82" t="n"/>
      <c r="E52" s="82" t="n"/>
      <c r="F52" s="82" t="n"/>
      <c r="G52" s="82"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A36"/>
  <sheetViews>
    <sheetView workbookViewId="0">
      <selection activeCell="A1" sqref="A1"/>
    </sheetView>
  </sheetViews>
  <sheetFormatPr baseColWidth="8" defaultColWidth="12.63" defaultRowHeight="12.75" customHeight="1"/>
  <cols>
    <col width="124.88" customWidth="1" style="123" min="1" max="1"/>
  </cols>
  <sheetData>
    <row r="1">
      <c r="A1" s="79" t="n"/>
    </row>
    <row r="2">
      <c r="A2" s="79" t="n"/>
    </row>
    <row r="3">
      <c r="A3" s="79" t="n"/>
    </row>
    <row r="4">
      <c r="A4" s="79" t="n"/>
    </row>
    <row r="5">
      <c r="A5" s="79" t="n"/>
    </row>
    <row r="6">
      <c r="A6" s="79" t="n"/>
    </row>
    <row r="7">
      <c r="A7" s="79" t="n"/>
    </row>
    <row r="8">
      <c r="A8" s="79" t="n"/>
    </row>
    <row r="9">
      <c r="A9" s="79" t="n"/>
    </row>
    <row r="10">
      <c r="A10" s="79" t="n"/>
    </row>
    <row r="11">
      <c r="A11" s="79" t="n"/>
    </row>
    <row r="12">
      <c r="A12" s="79" t="n"/>
    </row>
    <row r="13">
      <c r="A13" s="79" t="n"/>
    </row>
    <row r="14">
      <c r="A14" s="79" t="n"/>
    </row>
    <row r="15">
      <c r="A15" s="79" t="n"/>
    </row>
    <row r="16">
      <c r="A16" s="79" t="n"/>
    </row>
    <row r="17">
      <c r="A17" s="79" t="n"/>
    </row>
    <row r="18">
      <c r="A18" s="79" t="n"/>
    </row>
    <row r="19">
      <c r="A19" s="79" t="n"/>
    </row>
    <row r="20">
      <c r="A20" s="79" t="n"/>
    </row>
    <row r="21">
      <c r="A21" s="79" t="n"/>
    </row>
    <row r="22">
      <c r="A22" s="79" t="n"/>
    </row>
    <row r="23">
      <c r="A23" s="79" t="n"/>
    </row>
    <row r="24">
      <c r="A24" s="79" t="n"/>
    </row>
    <row r="25">
      <c r="A25" s="79" t="n"/>
    </row>
    <row r="26">
      <c r="A26" s="79" t="n"/>
    </row>
    <row r="27">
      <c r="A27" s="79" t="n"/>
    </row>
    <row r="28">
      <c r="A28" s="79" t="n"/>
    </row>
    <row r="29">
      <c r="A29" s="79" t="n"/>
    </row>
    <row r="30">
      <c r="A30" s="79" t="n"/>
    </row>
    <row r="31">
      <c r="A31" s="79" t="n"/>
    </row>
    <row r="32">
      <c r="A32" s="79" t="n"/>
    </row>
    <row r="33">
      <c r="A33" s="79" t="n"/>
    </row>
    <row r="34">
      <c r="A34" s="79" t="n"/>
    </row>
    <row r="35">
      <c r="A35" s="79" t="n"/>
    </row>
    <row r="36">
      <c r="A36" s="79" t="n"/>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23" min="1" max="2"/>
    <col width="62.63" customWidth="1" style="123" min="3" max="3"/>
    <col width="15.75" customWidth="1" style="123" min="4" max="7"/>
  </cols>
  <sheetData>
    <row r="1">
      <c r="A1" s="46" t="inlineStr">
        <is>
          <t>Sprint</t>
        </is>
      </c>
      <c r="B1" s="85" t="inlineStr">
        <is>
          <t>Goal</t>
        </is>
      </c>
      <c r="C1" s="86" t="inlineStr">
        <is>
          <t>Feature Name</t>
        </is>
      </c>
      <c r="D1" s="49" t="inlineStr">
        <is>
          <t>Est. size</t>
        </is>
      </c>
      <c r="E1" s="49" t="inlineStr">
        <is>
          <t>Est. remaining</t>
        </is>
      </c>
      <c r="F1" s="49" t="inlineStr">
        <is>
          <t>Real size</t>
        </is>
      </c>
      <c r="G1" s="49" t="inlineStr">
        <is>
          <t>Real remaining</t>
        </is>
      </c>
    </row>
    <row r="2">
      <c r="A2" s="79" t="n"/>
      <c r="B2" s="82" t="n"/>
      <c r="C2" s="82" t="n"/>
      <c r="D2" s="82" t="n"/>
      <c r="E2" s="82" t="n"/>
      <c r="F2" s="82" t="n"/>
      <c r="G2" s="82" t="n"/>
    </row>
    <row r="3">
      <c r="A3" s="52" t="inlineStr">
        <is>
          <t>Release</t>
        </is>
      </c>
      <c r="B3" s="54" t="n"/>
      <c r="C3" s="54" t="n"/>
      <c r="D3" s="54" t="n"/>
      <c r="E3" s="54" t="n"/>
      <c r="F3" s="54" t="n"/>
      <c r="G3" s="54" t="n"/>
    </row>
    <row r="4">
      <c r="A4" s="79" t="n"/>
      <c r="B4" s="82" t="n"/>
      <c r="C4" s="82" t="n"/>
      <c r="D4" s="82" t="n"/>
      <c r="E4" s="82" t="n"/>
      <c r="F4" s="82" t="n"/>
      <c r="G4" s="82" t="n"/>
    </row>
    <row r="5">
      <c r="A5" s="63" t="inlineStr">
        <is>
          <t>Total</t>
        </is>
      </c>
      <c r="B5" s="72" t="n"/>
      <c r="C5" s="72" t="n"/>
      <c r="D5" s="77">
        <f>sum(D8:D13)</f>
        <v/>
      </c>
      <c r="E5" s="77">
        <f>D5</f>
        <v/>
      </c>
      <c r="F5" s="72" t="n"/>
      <c r="G5" s="72" t="n"/>
    </row>
    <row r="6">
      <c r="A6" s="79" t="n"/>
      <c r="B6" s="82" t="n"/>
      <c r="C6" s="82" t="n"/>
      <c r="D6" s="82" t="n"/>
      <c r="E6" s="82" t="n"/>
      <c r="F6" s="82" t="n"/>
      <c r="G6" s="82" t="n"/>
    </row>
    <row r="7">
      <c r="A7" s="58" t="inlineStr">
        <is>
          <t>Sprints</t>
        </is>
      </c>
      <c r="B7" s="81" t="n"/>
      <c r="C7" s="60" t="n"/>
      <c r="D7" s="60" t="n"/>
      <c r="E7" s="60" t="n"/>
      <c r="F7" s="60" t="n"/>
      <c r="G7" s="60" t="n"/>
    </row>
    <row r="8">
      <c r="A8" s="79" t="n"/>
      <c r="B8" s="82" t="n"/>
      <c r="C8" s="82" t="n"/>
      <c r="D8" s="82" t="n"/>
      <c r="E8" s="61" t="inlineStr">
        <is>
          <t>Estimated burn-down</t>
        </is>
      </c>
      <c r="F8" s="82" t="n"/>
      <c r="G8" s="61" t="inlineStr">
        <is>
          <t>Real burn-down</t>
        </is>
      </c>
    </row>
    <row r="9">
      <c r="A9" s="62" t="n">
        <v>1</v>
      </c>
      <c r="B9" s="72" t="n"/>
      <c r="C9" s="72" t="n"/>
      <c r="D9" s="77">
        <f>sum(D16:D21)</f>
        <v/>
      </c>
      <c r="E9" s="77">
        <f>$D$5</f>
        <v/>
      </c>
      <c r="F9" s="77">
        <f>sum(F16:F21)</f>
        <v/>
      </c>
      <c r="G9" s="77">
        <f>$D$5</f>
        <v/>
      </c>
    </row>
    <row r="10">
      <c r="A10" s="79">
        <f>A9+1</f>
        <v/>
      </c>
      <c r="B10" s="82" t="n"/>
      <c r="C10" s="82" t="n"/>
      <c r="D10" s="83">
        <f>sum(D22:D27)</f>
        <v/>
      </c>
      <c r="E10" s="83">
        <f>E9-D9</f>
        <v/>
      </c>
      <c r="F10" s="83">
        <f>sum(F22:F27)</f>
        <v/>
      </c>
      <c r="G10" s="83">
        <f>G9-F9</f>
        <v/>
      </c>
    </row>
    <row r="11">
      <c r="A11" s="62">
        <f>A10+1</f>
        <v/>
      </c>
      <c r="B11" s="72" t="n"/>
      <c r="C11" s="72" t="n"/>
      <c r="D11" s="77">
        <f>sum(D28:D33)</f>
        <v/>
      </c>
      <c r="E11" s="77">
        <f>E10-D10</f>
        <v/>
      </c>
      <c r="F11" s="77">
        <f>sum(F28:F33)</f>
        <v/>
      </c>
      <c r="G11" s="77">
        <f>G10-F10</f>
        <v/>
      </c>
    </row>
    <row r="12">
      <c r="A12" s="79" t="inlineStr">
        <is>
          <t>...</t>
        </is>
      </c>
      <c r="B12" s="82" t="n"/>
      <c r="C12" s="82" t="n"/>
      <c r="D12" s="82" t="n"/>
      <c r="E12" s="83">
        <f>E11-D11</f>
        <v/>
      </c>
      <c r="F12" s="82" t="n"/>
      <c r="G12" s="83">
        <f>G11-F11</f>
        <v/>
      </c>
    </row>
    <row r="13">
      <c r="A13" s="62" t="n"/>
      <c r="B13" s="72" t="n"/>
      <c r="C13" s="72" t="n"/>
      <c r="D13" s="72" t="n"/>
      <c r="E13" s="72" t="n"/>
      <c r="F13" s="72" t="n"/>
      <c r="G13" s="72" t="n"/>
    </row>
    <row r="14">
      <c r="A14" s="66" t="inlineStr">
        <is>
          <t>Features</t>
        </is>
      </c>
      <c r="B14" s="67" t="n"/>
      <c r="C14" s="68" t="n"/>
      <c r="D14" s="68" t="n"/>
      <c r="E14" s="68" t="n"/>
      <c r="F14" s="68" t="n"/>
      <c r="G14" s="68" t="n"/>
    </row>
    <row r="15">
      <c r="A15" s="62" t="n"/>
      <c r="B15" s="72" t="n"/>
      <c r="C15" s="72" t="n"/>
      <c r="D15" s="72" t="n"/>
      <c r="E15" s="72" t="n"/>
      <c r="F15" s="72" t="n"/>
      <c r="G15" s="72" t="n"/>
    </row>
    <row r="16">
      <c r="A16" s="69">
        <f>A9</f>
        <v/>
      </c>
      <c r="B16" s="82" t="n"/>
      <c r="C16" s="82" t="n"/>
      <c r="D16" s="82" t="n"/>
      <c r="E16" s="82" t="n"/>
      <c r="F16" s="82" t="n"/>
      <c r="G16" s="82" t="n"/>
    </row>
    <row r="17">
      <c r="A17" s="62" t="n"/>
      <c r="B17" s="71" t="n"/>
      <c r="C17" s="72" t="n"/>
      <c r="D17" s="72" t="n"/>
      <c r="E17" s="72" t="n"/>
      <c r="F17" s="72" t="n"/>
      <c r="G17" s="72" t="n"/>
    </row>
    <row r="18">
      <c r="A18" s="79" t="n"/>
      <c r="B18" s="82" t="n"/>
      <c r="C18" s="75" t="n"/>
      <c r="D18" s="83" t="n"/>
      <c r="E18" s="75" t="n"/>
      <c r="F18" s="83" t="n"/>
      <c r="G18" s="75" t="n"/>
    </row>
    <row r="19">
      <c r="A19" s="62" t="n"/>
      <c r="B19" s="72" t="n"/>
      <c r="C19" s="72" t="n"/>
      <c r="D19" s="77" t="n"/>
      <c r="E19" s="72" t="n"/>
      <c r="F19" s="77" t="n"/>
      <c r="G19" s="72" t="n"/>
    </row>
    <row r="20">
      <c r="A20" s="79" t="n"/>
      <c r="B20" s="82" t="n"/>
      <c r="C20" s="75" t="n"/>
      <c r="D20" s="83" t="n"/>
      <c r="E20" s="75" t="n"/>
      <c r="F20" s="83" t="n"/>
      <c r="G20" s="75" t="n"/>
    </row>
    <row r="21">
      <c r="A21" s="62" t="n"/>
      <c r="B21" s="72" t="n"/>
      <c r="C21" s="72" t="n"/>
      <c r="D21" s="77" t="n"/>
      <c r="E21" s="72" t="n"/>
      <c r="F21" s="77" t="n"/>
      <c r="G21" s="72" t="n"/>
    </row>
    <row r="22">
      <c r="A22" s="69">
        <f>A10</f>
        <v/>
      </c>
      <c r="B22" s="82" t="n"/>
      <c r="C22" s="82" t="n"/>
      <c r="D22" s="82" t="n"/>
      <c r="E22" s="82" t="n"/>
      <c r="F22" s="82" t="n"/>
      <c r="G22" s="82" t="n"/>
    </row>
    <row r="23">
      <c r="A23" s="62" t="n"/>
      <c r="B23" s="71" t="n"/>
      <c r="C23" s="72" t="n"/>
      <c r="D23" s="72" t="n"/>
      <c r="E23" s="72" t="n"/>
      <c r="F23" s="72" t="n"/>
      <c r="G23" s="72" t="n"/>
    </row>
    <row r="24">
      <c r="A24" s="79" t="n"/>
      <c r="B24" s="82" t="n"/>
      <c r="C24" s="75" t="n"/>
      <c r="D24" s="83" t="n"/>
      <c r="E24" s="75" t="n"/>
      <c r="F24" s="83" t="n"/>
      <c r="G24" s="75" t="n"/>
    </row>
    <row r="25">
      <c r="A25" s="62" t="n"/>
      <c r="B25" s="72" t="n"/>
      <c r="C25" s="72" t="n"/>
      <c r="D25" s="77" t="n"/>
      <c r="E25" s="72" t="n"/>
      <c r="F25" s="77" t="n"/>
      <c r="G25" s="72" t="n"/>
    </row>
    <row r="26">
      <c r="A26" s="79" t="n"/>
      <c r="B26" s="82" t="n"/>
      <c r="C26" s="75" t="n"/>
      <c r="D26" s="83" t="n"/>
      <c r="E26" s="75" t="n"/>
      <c r="F26" s="83" t="n"/>
      <c r="G26" s="75" t="n"/>
    </row>
    <row r="27">
      <c r="A27" s="62" t="n"/>
      <c r="B27" s="72" t="n"/>
      <c r="C27" s="72" t="n"/>
      <c r="D27" s="77" t="n"/>
      <c r="E27" s="72" t="n"/>
      <c r="F27" s="77" t="n"/>
      <c r="G27" s="72" t="n"/>
    </row>
    <row r="28">
      <c r="A28" s="69">
        <f>A11</f>
        <v/>
      </c>
      <c r="B28" s="82" t="n"/>
      <c r="C28" s="82" t="n"/>
      <c r="D28" s="82" t="n"/>
      <c r="E28" s="82" t="n"/>
      <c r="F28" s="82" t="n"/>
      <c r="G28" s="82" t="n"/>
    </row>
    <row r="29">
      <c r="A29" s="62" t="n"/>
      <c r="B29" s="71" t="n"/>
      <c r="C29" s="72" t="n"/>
      <c r="D29" s="72" t="n"/>
      <c r="E29" s="72" t="n"/>
      <c r="F29" s="72" t="n"/>
      <c r="G29" s="72" t="n"/>
    </row>
    <row r="30">
      <c r="A30" s="79" t="n"/>
      <c r="B30" s="82" t="n"/>
      <c r="C30" s="75" t="n"/>
      <c r="D30" s="83" t="n"/>
      <c r="E30" s="75" t="n"/>
      <c r="F30" s="75" t="n"/>
      <c r="G30" s="75" t="n"/>
    </row>
    <row r="31">
      <c r="A31" s="62" t="n"/>
      <c r="B31" s="72" t="n"/>
      <c r="C31" s="72" t="n"/>
      <c r="D31" s="77" t="n"/>
      <c r="E31" s="72" t="n"/>
      <c r="F31" s="72" t="n"/>
      <c r="G31" s="72" t="n"/>
    </row>
    <row r="32">
      <c r="A32" s="79" t="n"/>
      <c r="B32" s="82" t="n"/>
      <c r="C32" s="82" t="n"/>
      <c r="D32" s="83" t="n"/>
      <c r="E32" s="75" t="n"/>
      <c r="F32" s="75" t="n"/>
      <c r="G32" s="75" t="n"/>
    </row>
    <row r="33">
      <c r="A33" s="62" t="n"/>
      <c r="B33" s="72" t="n"/>
      <c r="C33" s="84" t="inlineStr">
        <is>
          <t>PLEASE CREATE THE BURNDOWN CHART ON A NEW TAB USING THE DATA FROM THIS TAB</t>
        </is>
      </c>
      <c r="D33" s="77" t="n"/>
      <c r="E33" s="72" t="n"/>
      <c r="F33" s="72" t="n"/>
      <c r="G33" s="72" t="n"/>
    </row>
    <row r="34">
      <c r="A34" s="79" t="n"/>
      <c r="B34" s="82" t="n"/>
      <c r="C34" s="82" t="n"/>
      <c r="D34" s="82" t="n"/>
      <c r="E34" s="82" t="n"/>
      <c r="F34" s="82" t="n"/>
      <c r="G34" s="82"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sheetPr>
  <dimension ref="A1:D20"/>
  <sheetViews>
    <sheetView workbookViewId="0">
      <pane ySplit="1" topLeftCell="A2" activePane="bottomLeft" state="frozen"/>
      <selection pane="bottomLeft" activeCell="B3" sqref="B3"/>
    </sheetView>
  </sheetViews>
  <sheetFormatPr baseColWidth="8" defaultColWidth="12.63" defaultRowHeight="12.75" customHeight="1"/>
  <cols>
    <col width="5.13" customWidth="1" style="123" min="1" max="1"/>
    <col width="40.13" customWidth="1" style="123" min="2" max="4"/>
  </cols>
  <sheetData>
    <row r="1">
      <c r="A1" s="85" t="inlineStr">
        <is>
          <t>#</t>
        </is>
      </c>
      <c r="B1" s="86" t="inlineStr">
        <is>
          <t>Feature Definition of Done</t>
        </is>
      </c>
      <c r="C1" s="86" t="inlineStr">
        <is>
          <t>Sprint Release Definition of Done</t>
        </is>
      </c>
      <c r="D1" s="86" t="inlineStr">
        <is>
          <t>Project Release Definition of Done</t>
        </is>
      </c>
    </row>
    <row r="2">
      <c r="A2" s="35" t="n"/>
      <c r="B2" s="35" t="inlineStr">
        <is>
          <t>Code has been reviewed by at least one SD</t>
        </is>
      </c>
      <c r="C2" s="35" t="inlineStr">
        <is>
          <t>All Software Components are functioning</t>
        </is>
      </c>
      <c r="D2" s="35" t="inlineStr">
        <is>
          <t>Architecture documentation has been updated</t>
        </is>
      </c>
    </row>
    <row r="3">
      <c r="A3" s="35" t="n"/>
      <c r="B3" s="35" t="inlineStr">
        <is>
          <t>Feature has been reviewed by at least one PO</t>
        </is>
      </c>
      <c r="C3" s="35" t="inlineStr">
        <is>
          <t>Sprint release notes have been generated from all merge-requests since the last release</t>
        </is>
      </c>
      <c r="D3" s="35" t="inlineStr">
        <is>
          <t>Tests exist for all mayor features</t>
        </is>
      </c>
    </row>
    <row r="4">
      <c r="A4" s="35" t="n"/>
      <c r="B4" s="35" t="inlineStr">
        <is>
          <t>Build scripts have been adapted if necessary</t>
        </is>
      </c>
      <c r="C4" s="35" t="inlineStr">
        <is>
          <t>All container communication is working</t>
        </is>
      </c>
      <c r="D4" s="35" t="inlineStr">
        <is>
          <t>All tests are passing</t>
        </is>
      </c>
    </row>
    <row r="5">
      <c r="A5" s="35" t="n"/>
      <c r="B5" s="35" t="inlineStr">
        <is>
          <t>CI Pipeline Passes</t>
        </is>
      </c>
      <c r="C5" s="35" t="n"/>
      <c r="D5" s="35" t="n"/>
    </row>
    <row r="6">
      <c r="A6" s="35" t="n"/>
      <c r="B6" s="35" t="inlineStr">
        <is>
          <t>Code has been merged to main</t>
        </is>
      </c>
      <c r="C6" s="35" t="n"/>
      <c r="D6" s="35" t="n"/>
    </row>
    <row r="7">
      <c r="A7" s="35" t="n"/>
      <c r="B7" s="35" t="inlineStr">
        <is>
          <t>BOM has been updated if necessary</t>
        </is>
      </c>
      <c r="C7" s="35" t="n"/>
      <c r="D7" s="35" t="n"/>
    </row>
    <row r="8">
      <c r="A8" s="35" t="n"/>
      <c r="B8" s="35" t="n"/>
      <c r="C8" s="35" t="n"/>
      <c r="D8" s="35" t="n"/>
    </row>
    <row r="9">
      <c r="A9" s="35" t="n"/>
      <c r="B9" s="35" t="n"/>
      <c r="C9" s="35" t="n"/>
      <c r="D9" s="35" t="n"/>
    </row>
    <row r="10">
      <c r="A10" s="35" t="n"/>
      <c r="B10" s="35" t="n"/>
      <c r="C10" s="35" t="n"/>
      <c r="D10" s="35" t="n"/>
    </row>
    <row r="11">
      <c r="A11" s="35" t="n"/>
      <c r="B11" s="35" t="n"/>
      <c r="C11" s="35" t="n"/>
      <c r="D11" s="35" t="n"/>
    </row>
    <row r="12">
      <c r="A12" s="35" t="n"/>
      <c r="B12" s="35" t="n"/>
      <c r="C12" s="35" t="n"/>
      <c r="D12" s="35" t="n"/>
    </row>
    <row r="13">
      <c r="A13" s="35" t="n"/>
      <c r="B13" s="35" t="n"/>
      <c r="C13" s="35" t="n"/>
      <c r="D13" s="35" t="n"/>
    </row>
    <row r="14">
      <c r="A14" s="35" t="n"/>
      <c r="B14" s="35" t="n"/>
      <c r="C14" s="35" t="n"/>
      <c r="D14" s="35" t="n"/>
    </row>
    <row r="15">
      <c r="A15" s="35" t="n"/>
      <c r="B15" s="35" t="n"/>
      <c r="C15" s="35" t="n"/>
      <c r="D15" s="35" t="n"/>
    </row>
    <row r="16">
      <c r="A16" s="35" t="n"/>
      <c r="B16" s="35" t="n"/>
      <c r="C16" s="35" t="n"/>
      <c r="D16" s="35" t="n"/>
    </row>
    <row r="17">
      <c r="A17" s="35" t="n"/>
      <c r="B17" s="35" t="n"/>
      <c r="C17" s="35" t="n"/>
      <c r="D17" s="35" t="n"/>
    </row>
    <row r="18">
      <c r="A18" s="35" t="n"/>
      <c r="B18" s="35" t="n"/>
      <c r="C18" s="35" t="n"/>
      <c r="D18" s="35" t="n"/>
    </row>
    <row r="19">
      <c r="A19" s="35" t="n"/>
      <c r="B19" s="35" t="n"/>
      <c r="C19" s="35" t="n"/>
      <c r="D19" s="35" t="n"/>
    </row>
    <row r="20">
      <c r="A20" s="35" t="n"/>
      <c r="B20" s="35" t="n"/>
      <c r="C20" s="35" t="n"/>
      <c r="D20" s="35"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Type</t>
        </is>
      </c>
      <c r="B1" s="44" t="inlineStr">
        <is>
          <t>Link / reference</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0" summaryRight="0"/>
    <pageSetUpPr fitToPage="1"/>
  </sheetPr>
  <dimension ref="A1:H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2"/>
    <col width="12.63" customWidth="1" style="123" min="3" max="5"/>
  </cols>
  <sheetData>
    <row r="1">
      <c r="A1" s="93">
        <f>'Project Team'!A1</f>
        <v/>
      </c>
      <c r="B1" s="93">
        <f>'Project Team'!B1</f>
        <v/>
      </c>
      <c r="C1" s="94" t="inlineStr">
        <is>
          <t>Value</t>
        </is>
      </c>
      <c r="D1" s="95" t="n"/>
      <c r="E1" s="96" t="n"/>
      <c r="F1" s="97" t="n"/>
      <c r="G1" s="98" t="n"/>
      <c r="H1" s="98" t="n"/>
    </row>
    <row r="2">
      <c r="A2" s="99">
        <f>'Project Team'!A2</f>
        <v/>
      </c>
      <c r="B2" s="99">
        <f>'Project Team'!B2</f>
        <v/>
      </c>
      <c r="C2" s="100" t="n"/>
      <c r="D2" s="101" t="n"/>
      <c r="E2" s="102">
        <f>average(C2:C9)</f>
        <v/>
      </c>
      <c r="F2" s="103">
        <f>if(stdev(C2:C6) &gt; 0,"NOK", "OK")</f>
        <v/>
      </c>
      <c r="G2" s="104" t="n"/>
      <c r="H2" s="104" t="n"/>
    </row>
    <row r="3">
      <c r="A3" s="113" t="n"/>
      <c r="B3" s="113" t="n"/>
      <c r="C3" s="100" t="n"/>
      <c r="D3" s="106" t="n"/>
      <c r="G3" s="107" t="n"/>
      <c r="H3" s="107" t="n"/>
    </row>
    <row r="4">
      <c r="A4" s="99">
        <f>'Project Team'!A3</f>
        <v/>
      </c>
      <c r="B4" s="99">
        <f>'Project Team'!B3</f>
        <v/>
      </c>
      <c r="C4" s="100" t="n">
        <v>3</v>
      </c>
      <c r="D4" s="101" t="n"/>
      <c r="G4" s="104" t="n"/>
      <c r="H4" s="104" t="n"/>
    </row>
    <row r="5">
      <c r="A5" s="113">
        <f>'Project Team'!A4</f>
        <v/>
      </c>
      <c r="B5" s="113">
        <f>'Project Team'!B4</f>
        <v/>
      </c>
      <c r="C5" s="100" t="n">
        <v>3</v>
      </c>
      <c r="D5" s="108" t="n"/>
      <c r="E5" s="108" t="n"/>
      <c r="F5" s="108" t="n"/>
      <c r="G5" s="107" t="n"/>
      <c r="H5" s="107" t="n"/>
    </row>
    <row r="6">
      <c r="A6" s="99">
        <f>'Project Team'!A7</f>
        <v/>
      </c>
      <c r="B6" s="99">
        <f>'Project Team'!B7</f>
        <v/>
      </c>
      <c r="C6" s="100" t="n">
        <v>21</v>
      </c>
      <c r="D6" s="109" t="n"/>
      <c r="E6" s="110" t="n">
        <v>0</v>
      </c>
      <c r="F6" s="111" t="inlineStr">
        <is>
          <t>No size</t>
        </is>
      </c>
      <c r="G6" s="104" t="n"/>
      <c r="H6" s="104" t="n"/>
    </row>
    <row r="7">
      <c r="A7" s="113">
        <f>'Project Team'!A8</f>
        <v/>
      </c>
      <c r="B7" s="113">
        <f>'Project Team'!B8</f>
        <v/>
      </c>
      <c r="C7" s="112" t="n"/>
      <c r="D7" s="108" t="n"/>
      <c r="E7" s="110" t="n">
        <v>1</v>
      </c>
      <c r="F7" s="111" t="inlineStr">
        <is>
          <t>Trivial size</t>
        </is>
      </c>
      <c r="G7" s="107" t="n"/>
      <c r="H7" s="107" t="n"/>
    </row>
    <row r="8">
      <c r="A8" s="99">
        <f>'Project Team'!A9</f>
        <v/>
      </c>
      <c r="B8" s="99">
        <f>'Project Team'!B9</f>
        <v/>
      </c>
      <c r="C8" s="100" t="n"/>
      <c r="D8" s="109" t="n"/>
      <c r="E8" s="110" t="n">
        <v>2</v>
      </c>
      <c r="F8" s="111" t="inlineStr">
        <is>
          <t>Small size</t>
        </is>
      </c>
      <c r="G8" s="104" t="n"/>
      <c r="H8" s="104" t="n"/>
    </row>
    <row r="9">
      <c r="A9" s="113" t="inlineStr">
        <is>
          <t>Asadi</t>
        </is>
      </c>
      <c r="B9" s="113" t="inlineStr">
        <is>
          <t>Zohreh</t>
        </is>
      </c>
      <c r="C9" s="100" t="n">
        <v>3</v>
      </c>
      <c r="D9" s="108" t="n"/>
      <c r="E9" s="110" t="n">
        <v>3</v>
      </c>
      <c r="F9" s="111" t="inlineStr">
        <is>
          <t>Medium size</t>
        </is>
      </c>
      <c r="G9" s="107" t="n"/>
      <c r="H9" s="107" t="n"/>
    </row>
    <row r="10">
      <c r="C10" s="114" t="n"/>
      <c r="D10" s="109" t="n"/>
      <c r="E10" s="110" t="n">
        <v>5</v>
      </c>
      <c r="F10" s="111" t="inlineStr">
        <is>
          <t>Large size</t>
        </is>
      </c>
      <c r="G10" s="104" t="n"/>
      <c r="H10" s="104" t="n"/>
    </row>
    <row r="11">
      <c r="A11" s="99">
        <f>'Project Team'!A5</f>
        <v/>
      </c>
      <c r="B11" s="99">
        <f>'Project Team'!B5</f>
        <v/>
      </c>
      <c r="C11" s="100" t="n"/>
      <c r="D11" s="108" t="n"/>
      <c r="E11" s="110" t="n">
        <v>8</v>
      </c>
      <c r="F11" s="111" t="inlineStr">
        <is>
          <t>Very large size</t>
        </is>
      </c>
      <c r="G11" s="107" t="n"/>
      <c r="H11" s="107" t="n"/>
    </row>
    <row r="12">
      <c r="A12" s="113">
        <f>'Project Team'!A6</f>
        <v/>
      </c>
      <c r="B12" s="113" t="inlineStr">
        <is>
          <t>Benedikt</t>
        </is>
      </c>
      <c r="C12" s="115" t="n"/>
      <c r="D12" s="109" t="n"/>
      <c r="E12" s="110" t="n">
        <v>13</v>
      </c>
      <c r="F12" s="111" t="inlineStr">
        <is>
          <t>Too large (size)</t>
        </is>
      </c>
      <c r="G12" s="104" t="n"/>
      <c r="H12" s="104" t="n"/>
    </row>
    <row r="13">
      <c r="C13" s="108" t="n"/>
      <c r="D13" s="108" t="n"/>
      <c r="E13" s="108" t="n"/>
      <c r="F13" s="108" t="n"/>
      <c r="G13" s="107" t="n"/>
      <c r="H13" s="107" t="n"/>
    </row>
    <row r="14">
      <c r="A14" s="117" t="inlineStr">
        <is>
          <t>How to play planning poker</t>
        </is>
      </c>
      <c r="B14" s="117" t="n"/>
      <c r="C14" s="117" t="n"/>
      <c r="D14" s="117" t="n"/>
      <c r="E14" s="117" t="n"/>
      <c r="F14" s="117" t="n"/>
      <c r="G14" s="117" t="n"/>
      <c r="H14" s="117" t="n"/>
    </row>
    <row r="15">
      <c r="A15" s="122" t="n"/>
      <c r="B15" s="122" t="n"/>
      <c r="C15" s="122" t="n"/>
      <c r="D15" s="122" t="n"/>
      <c r="E15" s="122" t="n"/>
      <c r="F15" s="122" t="n"/>
      <c r="G15" s="122" t="n"/>
      <c r="H15" s="122" t="n"/>
    </row>
    <row r="16">
      <c r="A16" s="120" t="inlineStr">
        <is>
          <t>1. Everyone type their number into their value field, don't hit return yet</t>
        </is>
      </c>
      <c r="B16" s="120" t="n"/>
      <c r="C16" s="120" t="n"/>
      <c r="D16" s="120" t="n"/>
      <c r="E16" s="120" t="n"/>
      <c r="F16" s="120" t="n"/>
      <c r="G16" s="120" t="n"/>
      <c r="H16" s="120" t="n"/>
    </row>
    <row r="17">
      <c r="A17" s="122" t="inlineStr">
        <is>
          <t>2. Someone, perhaps a product owner, count down 3.. 2.. 1..</t>
        </is>
      </c>
      <c r="B17" s="122" t="n"/>
      <c r="C17" s="122" t="n"/>
      <c r="D17" s="122" t="n"/>
      <c r="E17" s="122" t="n"/>
      <c r="F17" s="122" t="n"/>
      <c r="G17" s="122" t="n"/>
      <c r="H17" s="122" t="n"/>
    </row>
    <row r="18">
      <c r="A18" s="120" t="inlineStr">
        <is>
          <t>3. Then, everyone hit return to submit their value</t>
        </is>
      </c>
      <c r="B18" s="120" t="n"/>
      <c r="C18" s="120" t="n"/>
      <c r="D18" s="120" t="n"/>
      <c r="E18" s="120" t="n"/>
      <c r="F18" s="120" t="n"/>
      <c r="G18" s="120" t="n"/>
      <c r="H18" s="120" t="n"/>
    </row>
    <row r="19">
      <c r="A19" s="122" t="n"/>
      <c r="B19" s="122" t="n"/>
      <c r="C19" s="122" t="n"/>
      <c r="D19" s="122" t="n"/>
      <c r="E19" s="122" t="n"/>
      <c r="F19" s="122" t="n"/>
      <c r="G19" s="122" t="inlineStr">
        <is>
          <t>no cap yet</t>
        </is>
      </c>
      <c r="H19" s="122" t="n"/>
    </row>
    <row r="20">
      <c r="A20" s="120" t="n"/>
      <c r="B20" s="120" t="n"/>
      <c r="C20" s="120" t="n"/>
      <c r="D20" s="120" t="n"/>
      <c r="E20" s="120" t="n"/>
      <c r="F20" s="120" t="n"/>
      <c r="G20" s="120" t="n"/>
      <c r="H20" s="120" t="n"/>
    </row>
  </sheetData>
  <mergeCells count="2">
    <mergeCell ref="E2:E4"/>
    <mergeCell ref="F2:F4"/>
  </mergeCells>
  <printOptions horizontalCentered="1" gridLines="1"/>
  <pageMargins left="0.7" right="0.7" top="0.75" bottom="0.75" header="0" footer="0"/>
  <pageSetup orientation="landscape" paperSize="9" fitToHeight="0" pageOrder="overThenDown" cellComments="atEnd"/>
</worksheet>
</file>

<file path=xl/worksheets/sheet16.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 customWidth="1" style="123" min="1" max="1"/>
    <col width="30" customWidth="1" style="123" min="2" max="2"/>
    <col width="40" customWidth="1" style="123" min="3" max="3"/>
    <col width="15" customWidth="1" style="123" min="4" max="4"/>
    <col width="25" customWidth="1" style="123" min="5" max="5"/>
    <col width="40" customWidth="1" style="123" min="6" max="6"/>
  </cols>
  <sheetData>
    <row r="1">
      <c r="A1" s="124" t="inlineStr">
        <is>
          <t>#</t>
        </is>
      </c>
      <c r="B1" s="124" t="inlineStr">
        <is>
          <t>Context</t>
        </is>
      </c>
      <c r="C1" s="124" t="inlineStr">
        <is>
          <t>Name</t>
        </is>
      </c>
      <c r="D1" s="124" t="inlineStr">
        <is>
          <t>Version</t>
        </is>
      </c>
      <c r="E1" s="124" t="inlineStr">
        <is>
          <t>License</t>
        </is>
      </c>
      <c r="F1" s="124" t="inlineStr">
        <is>
          <t>Comment</t>
        </is>
      </c>
    </row>
    <row r="2">
      <c r="A2" t="inlineStr">
        <is>
          <t>1</t>
        </is>
      </c>
      <c r="B2" t="inlineStr">
        <is>
          <t>Frontend (React UI)</t>
        </is>
      </c>
      <c r="C2" t="inlineStr">
        <is>
          <t>npm:react</t>
        </is>
      </c>
      <c r="D2" t="inlineStr">
        <is>
          <t>18.3.1</t>
        </is>
      </c>
      <c r="E2" t="inlineStr">
        <is>
          <t>MIT</t>
        </is>
      </c>
      <c r="F2" t="inlineStr"/>
    </row>
    <row r="3">
      <c r="A3" t="inlineStr">
        <is>
          <t>2</t>
        </is>
      </c>
      <c r="B3" t="inlineStr">
        <is>
          <t>Frontend (React UI)</t>
        </is>
      </c>
      <c r="C3" t="inlineStr">
        <is>
          <t>npm:react-dom</t>
        </is>
      </c>
      <c r="D3" t="inlineStr">
        <is>
          <t>18.3.1</t>
        </is>
      </c>
      <c r="E3" t="inlineStr">
        <is>
          <t>MIT</t>
        </is>
      </c>
      <c r="F3" t="inlineStr"/>
    </row>
    <row r="4">
      <c r="A4" t="inlineStr">
        <is>
          <t>3</t>
        </is>
      </c>
      <c r="B4" t="inlineStr">
        <is>
          <t>Backend (FastAPI API)</t>
        </is>
      </c>
      <c r="C4" t="inlineStr">
        <is>
          <t>pypi:aioice</t>
        </is>
      </c>
      <c r="D4" t="inlineStr">
        <is>
          <t>0.10.1</t>
        </is>
      </c>
      <c r="E4" t="inlineStr">
        <is>
          <t>BSD-3-Clause</t>
        </is>
      </c>
      <c r="F4" t="inlineStr"/>
    </row>
    <row r="5">
      <c r="A5" t="inlineStr">
        <is>
          <t>4</t>
        </is>
      </c>
      <c r="B5" t="inlineStr">
        <is>
          <t>Backend (FastAPI API)</t>
        </is>
      </c>
      <c r="C5" t="inlineStr">
        <is>
          <t>pypi:aiortc</t>
        </is>
      </c>
      <c r="D5" t="inlineStr">
        <is>
          <t>1.14.0</t>
        </is>
      </c>
      <c r="E5" t="inlineStr">
        <is>
          <t>BSD-3-Clause</t>
        </is>
      </c>
      <c r="F5" t="inlineStr"/>
    </row>
    <row r="6">
      <c r="A6" t="inlineStr">
        <is>
          <t>5</t>
        </is>
      </c>
      <c r="B6" t="inlineStr">
        <is>
          <t>Backend (FastAPI API)</t>
        </is>
      </c>
      <c r="C6" t="inlineStr">
        <is>
          <t>pypi:av</t>
        </is>
      </c>
      <c r="D6" t="inlineStr">
        <is>
          <t>16.0.1</t>
        </is>
      </c>
      <c r="E6" t="inlineStr">
        <is>
          <t>BSD-3-Clause</t>
        </is>
      </c>
      <c r="F6" t="inlineStr"/>
    </row>
    <row r="7">
      <c r="A7" t="inlineStr">
        <is>
          <t>6</t>
        </is>
      </c>
      <c r="B7" t="inlineStr">
        <is>
          <t>Backend (FastAPI API)</t>
        </is>
      </c>
      <c r="C7" t="inlineStr">
        <is>
          <t>pypi:fastapi</t>
        </is>
      </c>
      <c r="D7" t="inlineStr">
        <is>
          <t>0.115.10</t>
        </is>
      </c>
      <c r="E7" t="inlineStr">
        <is>
          <t>MIT</t>
        </is>
      </c>
      <c r="F7" t="inlineStr"/>
    </row>
    <row r="8">
      <c r="A8" t="inlineStr">
        <is>
          <t>7</t>
        </is>
      </c>
      <c r="B8" t="inlineStr">
        <is>
          <t>Backend (FastAPI API)</t>
        </is>
      </c>
      <c r="C8" t="inlineStr">
        <is>
          <t>pypi:httpx</t>
        </is>
      </c>
      <c r="D8" t="inlineStr">
        <is>
          <t>0.27.2</t>
        </is>
      </c>
      <c r="E8" t="inlineStr">
        <is>
          <t>BSD License</t>
        </is>
      </c>
      <c r="F8" t="inlineStr"/>
    </row>
    <row r="9">
      <c r="A9" t="inlineStr">
        <is>
          <t>8</t>
        </is>
      </c>
      <c r="B9" t="inlineStr">
        <is>
          <t>Backend (FastAPI API)</t>
        </is>
      </c>
      <c r="C9" t="inlineStr">
        <is>
          <t>pypi:numpy</t>
        </is>
      </c>
      <c r="D9" t="inlineStr">
        <is>
          <t>1.26.4</t>
        </is>
      </c>
      <c r="E9" t="inlineStr">
        <is>
          <t>BSD-3-Clause</t>
        </is>
      </c>
      <c r="F9" t="inlineStr"/>
    </row>
    <row r="10">
      <c r="A10" t="inlineStr">
        <is>
          <t>9</t>
        </is>
      </c>
      <c r="B10" t="inlineStr">
        <is>
          <t>Backend (FastAPI API)</t>
        </is>
      </c>
      <c r="C10" t="inlineStr">
        <is>
          <t>pypi:opencv-python</t>
        </is>
      </c>
      <c r="D10" t="inlineStr">
        <is>
          <t>4.9.0.80</t>
        </is>
      </c>
      <c r="E10" t="inlineStr">
        <is>
          <t>Apache 2.0</t>
        </is>
      </c>
      <c r="F10" t="inlineStr"/>
    </row>
    <row r="11">
      <c r="A11" t="inlineStr">
        <is>
          <t>10</t>
        </is>
      </c>
      <c r="B11" t="inlineStr">
        <is>
          <t>Backend (FastAPI API)</t>
        </is>
      </c>
      <c r="C11" t="inlineStr">
        <is>
          <t>pypi:pydantic</t>
        </is>
      </c>
      <c r="D11" t="inlineStr">
        <is>
          <t>2.12.3</t>
        </is>
      </c>
      <c r="E11" t="inlineStr">
        <is>
          <t>MIT</t>
        </is>
      </c>
      <c r="F11" t="inlineStr"/>
    </row>
    <row r="12">
      <c r="A12" t="inlineStr">
        <is>
          <t>11</t>
        </is>
      </c>
      <c r="B12" t="inlineStr">
        <is>
          <t>Backend (FastAPI API)</t>
        </is>
      </c>
      <c r="C12" t="inlineStr">
        <is>
          <t>pypi:timm</t>
        </is>
      </c>
      <c r="D12" t="inlineStr">
        <is>
          <t>1.0.22</t>
        </is>
      </c>
      <c r="E12" t="inlineStr">
        <is>
          <t>Apache-2.0</t>
        </is>
      </c>
      <c r="F12" t="inlineStr"/>
    </row>
    <row r="13">
      <c r="A13" t="inlineStr">
        <is>
          <t>12</t>
        </is>
      </c>
      <c r="B13" t="inlineStr">
        <is>
          <t>Backend (FastAPI API)</t>
        </is>
      </c>
      <c r="C13" t="inlineStr">
        <is>
          <t>pypi:ultralytics</t>
        </is>
      </c>
      <c r="D13" t="inlineStr">
        <is>
          <t>8.3.58</t>
        </is>
      </c>
      <c r="E13" t="inlineStr">
        <is>
          <t>AGPL-3.0</t>
        </is>
      </c>
      <c r="F13" t="inlineStr"/>
    </row>
    <row r="14">
      <c r="A14" t="inlineStr">
        <is>
          <t>13</t>
        </is>
      </c>
      <c r="B14" t="inlineStr">
        <is>
          <t>Backend (FastAPI API)</t>
        </is>
      </c>
      <c r="C14" t="inlineStr">
        <is>
          <t>pypi:uvicorn</t>
        </is>
      </c>
      <c r="D14" t="inlineStr">
        <is>
          <t>0.38.0</t>
        </is>
      </c>
      <c r="E14" t="inlineStr">
        <is>
          <t>BSD-3-Clause</t>
        </is>
      </c>
      <c r="F14" t="inlineStr"/>
    </row>
    <row r="15">
      <c r="A15" t="inlineStr">
        <is>
          <t>14</t>
        </is>
      </c>
      <c r="B15" t="inlineStr">
        <is>
          <t>Frontend (React UI)</t>
        </is>
      </c>
      <c r="C15" t="inlineStr">
        <is>
          <t>npm:@types/react</t>
        </is>
      </c>
      <c r="D15" t="inlineStr">
        <is>
          <t>18.3.12</t>
        </is>
      </c>
      <c r="E15" t="inlineStr">
        <is>
          <t>MIT</t>
        </is>
      </c>
      <c r="F15" t="inlineStr"/>
    </row>
    <row r="16">
      <c r="A16" t="inlineStr">
        <is>
          <t>15</t>
        </is>
      </c>
      <c r="B16" t="inlineStr">
        <is>
          <t>Frontend (React UI)</t>
        </is>
      </c>
      <c r="C16" t="inlineStr">
        <is>
          <t>npm:@types/react-dom</t>
        </is>
      </c>
      <c r="D16" t="inlineStr">
        <is>
          <t>18.3.1</t>
        </is>
      </c>
      <c r="E16" t="inlineStr">
        <is>
          <t>MIT</t>
        </is>
      </c>
      <c r="F16" t="inlineStr"/>
    </row>
    <row r="17">
      <c r="A17" t="inlineStr">
        <is>
          <t>16</t>
        </is>
      </c>
      <c r="B17" t="inlineStr">
        <is>
          <t>Frontend (React UI)</t>
        </is>
      </c>
      <c r="C17" t="inlineStr">
        <is>
          <t>npm:@typescript-eslint/eslint-plugin</t>
        </is>
      </c>
      <c r="D17" t="inlineStr">
        <is>
          <t>8.16.0</t>
        </is>
      </c>
      <c r="E17" t="inlineStr">
        <is>
          <t>MIT</t>
        </is>
      </c>
      <c r="F17" t="inlineStr"/>
    </row>
    <row r="18">
      <c r="A18" t="inlineStr">
        <is>
          <t>17</t>
        </is>
      </c>
      <c r="B18" t="inlineStr">
        <is>
          <t>Frontend (React UI)</t>
        </is>
      </c>
      <c r="C18" t="inlineStr">
        <is>
          <t>npm:@typescript-eslint/parser</t>
        </is>
      </c>
      <c r="D18" t="inlineStr">
        <is>
          <t>8.16.0</t>
        </is>
      </c>
      <c r="E18" t="inlineStr">
        <is>
          <t>BSD-2-Clause</t>
        </is>
      </c>
      <c r="F18" t="inlineStr"/>
    </row>
    <row r="19">
      <c r="A19" t="inlineStr">
        <is>
          <t>18</t>
        </is>
      </c>
      <c r="B19" t="inlineStr">
        <is>
          <t>Frontend (React UI)</t>
        </is>
      </c>
      <c r="C19" t="inlineStr">
        <is>
          <t>npm:@vitejs/plugin-react</t>
        </is>
      </c>
      <c r="D19" t="inlineStr">
        <is>
          <t>4.3.4</t>
        </is>
      </c>
      <c r="E19" t="inlineStr">
        <is>
          <t>MIT</t>
        </is>
      </c>
      <c r="F19" t="inlineStr"/>
    </row>
    <row r="20">
      <c r="A20" t="inlineStr">
        <is>
          <t>19</t>
        </is>
      </c>
      <c r="B20" t="inlineStr">
        <is>
          <t>Frontend (React UI)</t>
        </is>
      </c>
      <c r="C20" t="inlineStr">
        <is>
          <t>npm:eslint</t>
        </is>
      </c>
      <c r="D20" t="inlineStr">
        <is>
          <t>9.17.0</t>
        </is>
      </c>
      <c r="E20" t="inlineStr">
        <is>
          <t>MIT</t>
        </is>
      </c>
      <c r="F20" t="inlineStr"/>
    </row>
    <row r="21">
      <c r="A21" t="inlineStr">
        <is>
          <t>20</t>
        </is>
      </c>
      <c r="B21" t="inlineStr">
        <is>
          <t>Backend Dev Dependencies</t>
        </is>
      </c>
      <c r="C21" t="inlineStr">
        <is>
          <t>pypi:mypy</t>
        </is>
      </c>
      <c r="D21" t="inlineStr">
        <is>
          <t>1.13.0</t>
        </is>
      </c>
      <c r="E21" t="inlineStr">
        <is>
          <t>MIT</t>
        </is>
      </c>
      <c r="F21" t="inlineStr"/>
    </row>
    <row r="22">
      <c r="A22" t="inlineStr">
        <is>
          <t>21</t>
        </is>
      </c>
      <c r="B22" t="inlineStr">
        <is>
          <t>Frontend (React UI)</t>
        </is>
      </c>
      <c r="C22" t="inlineStr">
        <is>
          <t>npm:prettier</t>
        </is>
      </c>
      <c r="D22" t="inlineStr">
        <is>
          <t>3.4.2</t>
        </is>
      </c>
      <c r="E22" t="inlineStr">
        <is>
          <t>MIT</t>
        </is>
      </c>
      <c r="F22" t="inlineStr"/>
    </row>
    <row r="23">
      <c r="A23" t="inlineStr">
        <is>
          <t>22</t>
        </is>
      </c>
      <c r="B23" t="inlineStr">
        <is>
          <t>Backend Dev Dependencies</t>
        </is>
      </c>
      <c r="C23" t="inlineStr">
        <is>
          <t>pypi:pytest</t>
        </is>
      </c>
      <c r="D23" t="inlineStr">
        <is>
          <t>8.3.3</t>
        </is>
      </c>
      <c r="E23" t="inlineStr">
        <is>
          <t>MIT</t>
        </is>
      </c>
      <c r="F23" t="inlineStr"/>
    </row>
    <row r="24">
      <c r="A24" t="inlineStr">
        <is>
          <t>23</t>
        </is>
      </c>
      <c r="B24" t="inlineStr">
        <is>
          <t>Backend Dev Dependencies</t>
        </is>
      </c>
      <c r="C24" t="inlineStr">
        <is>
          <t>pypi:pytest-asyncio</t>
        </is>
      </c>
      <c r="D24" t="inlineStr">
        <is>
          <t>1.2.0</t>
        </is>
      </c>
      <c r="E24" t="inlineStr">
        <is>
          <t>Apache-2.0</t>
        </is>
      </c>
      <c r="F24" t="inlineStr"/>
    </row>
    <row r="25">
      <c r="A25" t="inlineStr">
        <is>
          <t>24</t>
        </is>
      </c>
      <c r="B25" t="inlineStr">
        <is>
          <t>Backend Dev Dependencies</t>
        </is>
      </c>
      <c r="C25" t="inlineStr">
        <is>
          <t>pypi:reuse</t>
        </is>
      </c>
      <c r="D25" t="inlineStr">
        <is>
          <t>4.0.3</t>
        </is>
      </c>
      <c r="E25" t="inlineStr">
        <is>
          <t>Apache-2.0 AND CC0-1.0 AND CC-BY-SA-4.0 AND GPL-3.0-or-later</t>
        </is>
      </c>
      <c r="F25" t="inlineStr"/>
    </row>
    <row r="26">
      <c r="A26" t="inlineStr">
        <is>
          <t>25</t>
        </is>
      </c>
      <c r="B26" t="inlineStr">
        <is>
          <t>Backend Dev Dependencies</t>
        </is>
      </c>
      <c r="C26" t="inlineStr">
        <is>
          <t>pypi:ruff</t>
        </is>
      </c>
      <c r="D26" t="inlineStr">
        <is>
          <t>0.7.0</t>
        </is>
      </c>
      <c r="E26" t="inlineStr">
        <is>
          <t>MIT</t>
        </is>
      </c>
      <c r="F26" t="inlineStr"/>
    </row>
    <row r="27">
      <c r="A27" t="inlineStr">
        <is>
          <t>26</t>
        </is>
      </c>
      <c r="B27" t="inlineStr">
        <is>
          <t>Frontend (React UI)</t>
        </is>
      </c>
      <c r="C27" t="inlineStr">
        <is>
          <t>npm:typescript</t>
        </is>
      </c>
      <c r="D27" t="inlineStr">
        <is>
          <t>5.6.3</t>
        </is>
      </c>
      <c r="E27" t="inlineStr">
        <is>
          <t>Apache-2.0</t>
        </is>
      </c>
      <c r="F27" t="inlineStr"/>
    </row>
    <row r="28">
      <c r="A28" t="inlineStr">
        <is>
          <t>27</t>
        </is>
      </c>
      <c r="B28" t="inlineStr">
        <is>
          <t>Frontend (React UI)</t>
        </is>
      </c>
      <c r="C28" t="inlineStr">
        <is>
          <t>npm:vite</t>
        </is>
      </c>
      <c r="D28" t="inlineStr">
        <is>
          <t>6.0.3</t>
        </is>
      </c>
      <c r="E28" t="inlineStr">
        <is>
          <t>MIT</t>
        </is>
      </c>
      <c r="F28" t="inlineStr"/>
    </row>
    <row r="29">
      <c r="A29" t="inlineStr">
        <is>
          <t>28</t>
        </is>
      </c>
      <c r="B29" t="inlineStr">
        <is>
          <t>Frontend (React UI)</t>
        </is>
      </c>
      <c r="C29" t="inlineStr">
        <is>
          <t>npm:vitest</t>
        </is>
      </c>
      <c r="D29" t="inlineStr">
        <is>
          <t>2.1.5</t>
        </is>
      </c>
      <c r="E29" t="inlineStr">
        <is>
          <t>MIT</t>
        </is>
      </c>
      <c r="F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2025-11-19T10:00:51Z</dcterms:created>
  <dcterms:modified xsi:type="dcterms:W3CDTF">2025-11-19T13:06:21Z</dcterms:modified>
</cp:coreProperties>
</file>